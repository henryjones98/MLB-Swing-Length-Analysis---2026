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c0d7d1fbe4bd080/Desktop/Baseball Stuff/Research/Hitter Fastball Study/"/>
    </mc:Choice>
  </mc:AlternateContent>
  <xr:revisionPtr revIDLastSave="274" documentId="8_{A6EEF1B8-9DCC-4A09-A343-3295640546C2}" xr6:coauthVersionLast="47" xr6:coauthVersionMax="47" xr10:uidLastSave="{59DA7D85-AAE6-4256-A499-0955344565B3}"/>
  <bookViews>
    <workbookView xWindow="-108" yWindow="-108" windowWidth="23256" windowHeight="12456" activeTab="2" xr2:uid="{B3714FBF-D75D-4372-B627-F79F6C1A8C23}"/>
  </bookViews>
  <sheets>
    <sheet name="Table1" sheetId="1" r:id="rId1"/>
    <sheet name="Swing Length Pivot Table" sheetId="3" r:id="rId2"/>
    <sheet name="Definition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28" i="1" l="1"/>
  <c r="S3" i="1" a="1"/>
  <c r="S4" i="1" a="1"/>
  <c r="S5" i="1" a="1"/>
  <c r="S6" i="1" a="1"/>
  <c r="S7" i="1" a="1"/>
  <c r="S8" i="1" a="1"/>
  <c r="S9" i="1" a="1"/>
  <c r="S10" i="1" a="1"/>
  <c r="S11" i="1" a="1"/>
  <c r="S12" i="1" a="1"/>
  <c r="S13" i="1" a="1"/>
  <c r="S14" i="1" a="1"/>
  <c r="S15" i="1" a="1"/>
  <c r="S16" i="1" a="1"/>
  <c r="S17" i="1" a="1"/>
  <c r="S18" i="1" a="1"/>
  <c r="S19" i="1" a="1"/>
  <c r="S20" i="1" a="1"/>
  <c r="S21" i="1" a="1"/>
  <c r="S22" i="1" a="1"/>
  <c r="S23" i="1" a="1"/>
  <c r="S24" i="1" a="1"/>
  <c r="S25" i="1" a="1"/>
  <c r="S26" i="1" a="1"/>
  <c r="S27" i="1" a="1"/>
  <c r="S28" i="1" a="1"/>
  <c r="S29" i="1" a="1"/>
  <c r="S30" i="1" a="1"/>
  <c r="S31" i="1" a="1"/>
  <c r="S32" i="1" a="1"/>
  <c r="S33" i="1" a="1"/>
  <c r="S34" i="1" a="1"/>
  <c r="S35" i="1" a="1"/>
  <c r="S36" i="1" a="1"/>
  <c r="S37" i="1" a="1"/>
  <c r="S38" i="1" a="1"/>
  <c r="S39" i="1" a="1"/>
  <c r="S40" i="1" a="1"/>
  <c r="S41" i="1" a="1"/>
  <c r="S42" i="1" a="1"/>
  <c r="S43" i="1" a="1"/>
  <c r="S44" i="1" a="1"/>
  <c r="S45" i="1" a="1"/>
  <c r="S46" i="1" a="1"/>
  <c r="S47" i="1" a="1"/>
  <c r="S48" i="1" a="1"/>
  <c r="S49" i="1" a="1"/>
  <c r="S50" i="1" a="1"/>
  <c r="S51" i="1" a="1"/>
  <c r="S52" i="1" a="1"/>
  <c r="S53" i="1" a="1"/>
  <c r="S54" i="1" a="1"/>
  <c r="S55" i="1" a="1"/>
  <c r="S56" i="1" a="1"/>
  <c r="S57" i="1" a="1"/>
  <c r="S58" i="1" a="1"/>
  <c r="S59" i="1" a="1"/>
  <c r="S60" i="1" a="1"/>
  <c r="S61" i="1" a="1"/>
  <c r="S62" i="1" a="1"/>
  <c r="S63" i="1" a="1"/>
  <c r="S64" i="1" a="1"/>
  <c r="S65" i="1" a="1"/>
  <c r="S66" i="1" a="1"/>
  <c r="S67" i="1" a="1"/>
  <c r="S68" i="1" a="1"/>
  <c r="S69" i="1" a="1"/>
  <c r="S70" i="1" a="1"/>
  <c r="S71" i="1" a="1"/>
  <c r="S72" i="1" a="1"/>
  <c r="S73" i="1" a="1"/>
  <c r="S74" i="1" a="1"/>
  <c r="S75" i="1" a="1"/>
  <c r="S76" i="1" a="1"/>
  <c r="S77" i="1" a="1"/>
  <c r="S78" i="1" a="1"/>
  <c r="S79" i="1" a="1"/>
  <c r="S80" i="1" a="1"/>
  <c r="S81" i="1" a="1"/>
  <c r="S82" i="1" a="1"/>
  <c r="S83" i="1" a="1"/>
  <c r="S84" i="1" a="1"/>
  <c r="S85" i="1" a="1"/>
  <c r="S86" i="1" a="1"/>
  <c r="S87" i="1" a="1"/>
  <c r="S88" i="1" a="1"/>
  <c r="S89" i="1" a="1"/>
  <c r="S90" i="1" a="1"/>
  <c r="S91" i="1" a="1"/>
  <c r="S92" i="1" a="1"/>
  <c r="S93" i="1" a="1"/>
  <c r="S94" i="1" a="1"/>
  <c r="S95" i="1" a="1"/>
  <c r="S96" i="1" a="1"/>
  <c r="S97" i="1" a="1"/>
  <c r="S98" i="1" a="1"/>
  <c r="S99" i="1" a="1"/>
  <c r="S100" i="1" a="1"/>
  <c r="S101" i="1" a="1"/>
  <c r="S102" i="1" a="1"/>
  <c r="S103" i="1" a="1"/>
  <c r="S104" i="1" a="1"/>
  <c r="S105" i="1" a="1"/>
  <c r="S106" i="1" a="1"/>
  <c r="S107" i="1" a="1"/>
  <c r="S108" i="1" a="1"/>
  <c r="S109" i="1" a="1"/>
  <c r="S110" i="1" a="1"/>
  <c r="S111" i="1" a="1"/>
  <c r="S112" i="1" a="1"/>
  <c r="S113" i="1" a="1"/>
  <c r="S114" i="1" a="1"/>
  <c r="S115" i="1" a="1"/>
  <c r="S116" i="1" a="1"/>
  <c r="S117" i="1" a="1"/>
  <c r="S118" i="1" a="1"/>
  <c r="S119" i="1" a="1"/>
  <c r="S120" i="1" a="1"/>
  <c r="S121" i="1" a="1"/>
  <c r="S122" i="1" a="1"/>
  <c r="S123" i="1" a="1"/>
  <c r="S124" i="1" a="1"/>
  <c r="S125" i="1" a="1"/>
  <c r="S126" i="1" a="1"/>
  <c r="S127" i="1" a="1"/>
  <c r="S128" i="1" a="1"/>
  <c r="S129" i="1" a="1"/>
  <c r="S130" i="1" a="1"/>
  <c r="S131" i="1" a="1"/>
  <c r="S132" i="1" a="1"/>
  <c r="S133" i="1" a="1"/>
  <c r="S134" i="1" a="1"/>
  <c r="S135" i="1" a="1"/>
  <c r="S136" i="1" a="1"/>
  <c r="S137" i="1" a="1"/>
  <c r="S138" i="1" a="1"/>
  <c r="S139" i="1" a="1"/>
  <c r="S140" i="1" a="1"/>
  <c r="S141" i="1" a="1"/>
  <c r="S142" i="1" a="1"/>
  <c r="S143" i="1" a="1"/>
  <c r="S144" i="1" a="1"/>
  <c r="S145" i="1" a="1"/>
  <c r="S146" i="1" a="1"/>
  <c r="S147" i="1" a="1"/>
  <c r="S148" i="1" a="1"/>
  <c r="S149" i="1" a="1"/>
  <c r="S150" i="1" a="1"/>
  <c r="S151" i="1" a="1"/>
  <c r="S152" i="1" a="1"/>
  <c r="S153" i="1" a="1"/>
  <c r="S154" i="1" a="1"/>
  <c r="S155" i="1" a="1"/>
  <c r="S156" i="1" a="1"/>
  <c r="S157" i="1" a="1"/>
  <c r="S158" i="1" a="1"/>
  <c r="S159" i="1" a="1"/>
  <c r="S160" i="1" a="1"/>
  <c r="S161" i="1" a="1"/>
  <c r="S162" i="1" a="1"/>
  <c r="S163" i="1" a="1"/>
  <c r="S164" i="1" a="1"/>
  <c r="S165" i="1" a="1"/>
  <c r="S166" i="1" a="1"/>
  <c r="S167" i="1" a="1"/>
  <c r="S168" i="1" a="1"/>
  <c r="S169" i="1" a="1"/>
  <c r="S170" i="1" a="1"/>
  <c r="S171" i="1" a="1"/>
  <c r="S172" i="1" a="1"/>
  <c r="S173" i="1" a="1"/>
  <c r="S174" i="1" a="1"/>
  <c r="S175" i="1" a="1"/>
  <c r="S176" i="1" a="1"/>
  <c r="S177" i="1" a="1"/>
  <c r="S178" i="1" a="1"/>
  <c r="S179" i="1" a="1"/>
  <c r="S180" i="1" a="1"/>
  <c r="S181" i="1" a="1"/>
  <c r="S182" i="1" a="1"/>
  <c r="S183" i="1" a="1"/>
  <c r="S184" i="1" a="1"/>
  <c r="S185" i="1" a="1"/>
  <c r="S186" i="1" a="1"/>
  <c r="S187" i="1" a="1"/>
  <c r="S188" i="1" a="1"/>
  <c r="S189" i="1" a="1"/>
  <c r="S190" i="1" a="1"/>
  <c r="S191" i="1" a="1"/>
  <c r="S192" i="1" a="1"/>
  <c r="S193" i="1" a="1"/>
  <c r="S194" i="1" a="1"/>
  <c r="S195" i="1" a="1"/>
  <c r="S196" i="1" a="1"/>
  <c r="S197" i="1" a="1"/>
  <c r="S198" i="1" a="1"/>
  <c r="S199" i="1" a="1"/>
  <c r="S200" i="1" a="1"/>
  <c r="S201" i="1" a="1"/>
  <c r="S202" i="1" a="1"/>
  <c r="S203" i="1" a="1"/>
  <c r="S204" i="1" a="1"/>
  <c r="S205" i="1" a="1"/>
  <c r="S206" i="1" a="1"/>
  <c r="S207" i="1" a="1"/>
  <c r="S208" i="1" a="1"/>
  <c r="S209" i="1" a="1"/>
  <c r="S210" i="1" a="1"/>
  <c r="S211" i="1" a="1"/>
  <c r="S212" i="1" a="1"/>
  <c r="S213" i="1" a="1"/>
  <c r="S214" i="1" a="1"/>
  <c r="S215" i="1" a="1"/>
  <c r="S216" i="1" a="1"/>
  <c r="S217" i="1" a="1"/>
  <c r="S218" i="1" a="1"/>
  <c r="S219" i="1" a="1"/>
  <c r="S220" i="1" a="1"/>
  <c r="S221" i="1" a="1"/>
  <c r="S222" i="1" a="1"/>
  <c r="S223" i="1" a="1"/>
  <c r="S224" i="1" a="1"/>
  <c r="S225" i="1" a="1"/>
  <c r="S226" i="1" a="1"/>
  <c r="S227" i="1" a="1"/>
  <c r="S2" i="1" a="1"/>
  <c r="V3" i="1" a="1"/>
  <c r="V4" i="1" a="1"/>
  <c r="V5" i="1" a="1"/>
  <c r="V6" i="1" a="1"/>
  <c r="V7" i="1" a="1"/>
  <c r="V8" i="1" a="1"/>
  <c r="V9" i="1" a="1"/>
  <c r="V10" i="1" a="1"/>
  <c r="V11" i="1" a="1"/>
  <c r="V12" i="1" a="1"/>
  <c r="V13" i="1" a="1"/>
  <c r="V14" i="1" a="1"/>
  <c r="V15" i="1" a="1"/>
  <c r="V16" i="1" a="1"/>
  <c r="V17" i="1" a="1"/>
  <c r="V18" i="1" a="1"/>
  <c r="V19" i="1" a="1"/>
  <c r="V20" i="1" a="1"/>
  <c r="V21" i="1" a="1"/>
  <c r="V22" i="1" a="1"/>
  <c r="V23" i="1" a="1"/>
  <c r="V24" i="1" a="1"/>
  <c r="V25" i="1" a="1"/>
  <c r="V26" i="1" a="1"/>
  <c r="V27" i="1" a="1"/>
  <c r="V28" i="1" a="1"/>
  <c r="V29" i="1" a="1"/>
  <c r="V30" i="1" a="1"/>
  <c r="V31" i="1" a="1"/>
  <c r="V32" i="1" a="1"/>
  <c r="V33" i="1" a="1"/>
  <c r="V34" i="1" a="1"/>
  <c r="V35" i="1" a="1"/>
  <c r="V36" i="1" a="1"/>
  <c r="V37" i="1" a="1"/>
  <c r="V38" i="1" a="1"/>
  <c r="V39" i="1" a="1"/>
  <c r="V40" i="1" a="1"/>
  <c r="V41" i="1" a="1"/>
  <c r="V42" i="1" a="1"/>
  <c r="V43" i="1" a="1"/>
  <c r="V44" i="1" a="1"/>
  <c r="V45" i="1" a="1"/>
  <c r="V46" i="1" a="1"/>
  <c r="V47" i="1" a="1"/>
  <c r="V48" i="1" a="1"/>
  <c r="V49" i="1" a="1"/>
  <c r="V50" i="1" a="1"/>
  <c r="V51" i="1" a="1"/>
  <c r="V52" i="1" a="1"/>
  <c r="V53" i="1" a="1"/>
  <c r="V54" i="1" a="1"/>
  <c r="V55" i="1" a="1"/>
  <c r="V56" i="1" a="1"/>
  <c r="V57" i="1" a="1"/>
  <c r="V58" i="1" a="1"/>
  <c r="V59" i="1" a="1"/>
  <c r="V60" i="1" a="1"/>
  <c r="V61" i="1" a="1"/>
  <c r="V62" i="1" a="1"/>
  <c r="V63" i="1" a="1"/>
  <c r="V64" i="1" a="1"/>
  <c r="V65" i="1" a="1"/>
  <c r="V66" i="1" a="1"/>
  <c r="V67" i="1" a="1"/>
  <c r="V68" i="1" a="1"/>
  <c r="V69" i="1" a="1"/>
  <c r="V70" i="1" a="1"/>
  <c r="V71" i="1" a="1"/>
  <c r="V72" i="1" a="1"/>
  <c r="V73" i="1" a="1"/>
  <c r="V74" i="1" a="1"/>
  <c r="V75" i="1" a="1"/>
  <c r="V76" i="1" a="1"/>
  <c r="V77" i="1" a="1"/>
  <c r="V78" i="1" a="1"/>
  <c r="V79" i="1" a="1"/>
  <c r="V80" i="1" a="1"/>
  <c r="V81" i="1" a="1"/>
  <c r="V82" i="1" a="1"/>
  <c r="V83" i="1" a="1"/>
  <c r="V84" i="1" a="1"/>
  <c r="V85" i="1" a="1"/>
  <c r="V86" i="1" a="1"/>
  <c r="V87" i="1" a="1"/>
  <c r="V88" i="1" a="1"/>
  <c r="V89" i="1" a="1"/>
  <c r="V90" i="1" a="1"/>
  <c r="V91" i="1" a="1"/>
  <c r="V92" i="1" a="1"/>
  <c r="V93" i="1" a="1"/>
  <c r="V94" i="1" a="1"/>
  <c r="V95" i="1" a="1"/>
  <c r="V96" i="1" a="1"/>
  <c r="V97" i="1" a="1"/>
  <c r="V98" i="1" a="1"/>
  <c r="V99" i="1" a="1"/>
  <c r="V100" i="1" a="1"/>
  <c r="V101" i="1" a="1"/>
  <c r="V102" i="1" a="1"/>
  <c r="V103" i="1" a="1"/>
  <c r="V104" i="1" a="1"/>
  <c r="V105" i="1" a="1"/>
  <c r="V106" i="1" a="1"/>
  <c r="V107" i="1" a="1"/>
  <c r="V108" i="1" a="1"/>
  <c r="V109" i="1" a="1"/>
  <c r="V110" i="1" a="1"/>
  <c r="V111" i="1" a="1"/>
  <c r="V112" i="1" a="1"/>
  <c r="V113" i="1" a="1"/>
  <c r="V114" i="1" a="1"/>
  <c r="V115" i="1" a="1"/>
  <c r="V116" i="1" a="1"/>
  <c r="V117" i="1" a="1"/>
  <c r="V118" i="1" a="1"/>
  <c r="V119" i="1" a="1"/>
  <c r="V120" i="1" a="1"/>
  <c r="V121" i="1" a="1"/>
  <c r="V122" i="1" a="1"/>
  <c r="V123" i="1" a="1"/>
  <c r="V124" i="1" a="1"/>
  <c r="V125" i="1" a="1"/>
  <c r="V126" i="1" a="1"/>
  <c r="V127" i="1" a="1"/>
  <c r="V128" i="1" a="1"/>
  <c r="V129" i="1" a="1"/>
  <c r="V130" i="1" a="1"/>
  <c r="V131" i="1" a="1"/>
  <c r="V132" i="1" a="1"/>
  <c r="V133" i="1" a="1"/>
  <c r="V134" i="1" a="1"/>
  <c r="V135" i="1" a="1"/>
  <c r="V136" i="1" a="1"/>
  <c r="V137" i="1" a="1"/>
  <c r="V138" i="1" a="1"/>
  <c r="V139" i="1" a="1"/>
  <c r="V140" i="1" a="1"/>
  <c r="V141" i="1" a="1"/>
  <c r="V142" i="1" a="1"/>
  <c r="V143" i="1" a="1"/>
  <c r="V144" i="1" a="1"/>
  <c r="V145" i="1" a="1"/>
  <c r="V146" i="1" a="1"/>
  <c r="V147" i="1" a="1"/>
  <c r="V148" i="1" a="1"/>
  <c r="V149" i="1" a="1"/>
  <c r="V150" i="1" a="1"/>
  <c r="V151" i="1" a="1"/>
  <c r="V152" i="1" a="1"/>
  <c r="V153" i="1" a="1"/>
  <c r="V154" i="1" a="1"/>
  <c r="V155" i="1" a="1"/>
  <c r="V156" i="1" a="1"/>
  <c r="V157" i="1" a="1"/>
  <c r="V158" i="1" a="1"/>
  <c r="V159" i="1" a="1"/>
  <c r="V160" i="1" a="1"/>
  <c r="V161" i="1" a="1"/>
  <c r="V162" i="1" a="1"/>
  <c r="V163" i="1" a="1"/>
  <c r="V164" i="1" a="1"/>
  <c r="V165" i="1" a="1"/>
  <c r="V166" i="1" a="1"/>
  <c r="V167" i="1" a="1"/>
  <c r="V168" i="1" a="1"/>
  <c r="V169" i="1" a="1"/>
  <c r="V170" i="1" a="1"/>
  <c r="V171" i="1" a="1"/>
  <c r="V172" i="1" a="1"/>
  <c r="V173" i="1" a="1"/>
  <c r="V174" i="1" a="1"/>
  <c r="V175" i="1" a="1"/>
  <c r="V176" i="1" a="1"/>
  <c r="V177" i="1" a="1"/>
  <c r="V178" i="1" a="1"/>
  <c r="V179" i="1" a="1"/>
  <c r="V180" i="1" a="1"/>
  <c r="V181" i="1" a="1"/>
  <c r="V182" i="1" a="1"/>
  <c r="V183" i="1" a="1"/>
  <c r="V184" i="1" a="1"/>
  <c r="V185" i="1" a="1"/>
  <c r="V186" i="1" a="1"/>
  <c r="V187" i="1" a="1"/>
  <c r="V188" i="1" a="1"/>
  <c r="V189" i="1" a="1"/>
  <c r="V190" i="1" a="1"/>
  <c r="V191" i="1" a="1"/>
  <c r="V192" i="1" a="1"/>
  <c r="V193" i="1" a="1"/>
  <c r="V194" i="1" a="1"/>
  <c r="V195" i="1" a="1"/>
  <c r="V196" i="1" a="1"/>
  <c r="V197" i="1" a="1"/>
  <c r="V198" i="1" a="1"/>
  <c r="V199" i="1" a="1"/>
  <c r="V200" i="1" a="1"/>
  <c r="V201" i="1" a="1"/>
  <c r="V202" i="1" a="1"/>
  <c r="V203" i="1" a="1"/>
  <c r="V204" i="1" a="1"/>
  <c r="V205" i="1" a="1"/>
  <c r="V206" i="1" a="1"/>
  <c r="V207" i="1" a="1"/>
  <c r="V208" i="1" a="1"/>
  <c r="V209" i="1" a="1"/>
  <c r="V210" i="1" a="1"/>
  <c r="V211" i="1" a="1"/>
  <c r="V212" i="1" a="1"/>
  <c r="V213" i="1" a="1"/>
  <c r="V214" i="1" a="1"/>
  <c r="V215" i="1" a="1"/>
  <c r="V216" i="1" a="1"/>
  <c r="V217" i="1" a="1"/>
  <c r="V218" i="1" a="1"/>
  <c r="V219" i="1" a="1"/>
  <c r="V220" i="1" a="1"/>
  <c r="V221" i="1" a="1"/>
  <c r="V222" i="1" a="1"/>
  <c r="V223" i="1" a="1"/>
  <c r="V224" i="1" a="1"/>
  <c r="V225" i="1" a="1"/>
  <c r="V226" i="1" a="1"/>
  <c r="V227" i="1" a="1"/>
  <c r="V2" i="1" a="1"/>
  <c r="V227" i="1"/>
  <c r="S227" i="1"/>
  <c r="V226" i="1"/>
  <c r="S226" i="1"/>
  <c r="V225" i="1"/>
  <c r="S225" i="1"/>
  <c r="V224" i="1"/>
  <c r="S224" i="1"/>
  <c r="V223" i="1"/>
  <c r="S223" i="1"/>
  <c r="V222" i="1"/>
  <c r="S222" i="1"/>
  <c r="V221" i="1"/>
  <c r="S221" i="1"/>
  <c r="V220" i="1"/>
  <c r="S220" i="1"/>
  <c r="V219" i="1"/>
  <c r="S219" i="1"/>
  <c r="V218" i="1"/>
  <c r="S218" i="1"/>
  <c r="V217" i="1"/>
  <c r="S217" i="1"/>
  <c r="V216" i="1"/>
  <c r="S216" i="1"/>
  <c r="V215" i="1"/>
  <c r="S215" i="1"/>
  <c r="V214" i="1"/>
  <c r="S214" i="1"/>
  <c r="V213" i="1"/>
  <c r="S213" i="1"/>
  <c r="V212" i="1"/>
  <c r="S212" i="1"/>
  <c r="V211" i="1"/>
  <c r="S211" i="1"/>
  <c r="V210" i="1"/>
  <c r="S210" i="1"/>
  <c r="V209" i="1"/>
  <c r="S209" i="1"/>
  <c r="V208" i="1"/>
  <c r="S208" i="1"/>
  <c r="V207" i="1"/>
  <c r="S207" i="1"/>
  <c r="V206" i="1"/>
  <c r="S206" i="1"/>
  <c r="V205" i="1"/>
  <c r="S205" i="1"/>
  <c r="V204" i="1"/>
  <c r="S204" i="1"/>
  <c r="V203" i="1"/>
  <c r="S203" i="1"/>
  <c r="V202" i="1"/>
  <c r="S202" i="1"/>
  <c r="V201" i="1"/>
  <c r="S201" i="1"/>
  <c r="V200" i="1"/>
  <c r="S200" i="1"/>
  <c r="V199" i="1"/>
  <c r="S199" i="1"/>
  <c r="V198" i="1"/>
  <c r="S198" i="1"/>
  <c r="V197" i="1"/>
  <c r="S197" i="1"/>
  <c r="V196" i="1"/>
  <c r="S196" i="1"/>
  <c r="V195" i="1"/>
  <c r="S195" i="1"/>
  <c r="V194" i="1"/>
  <c r="S194" i="1"/>
  <c r="V193" i="1"/>
  <c r="S193" i="1"/>
  <c r="V192" i="1"/>
  <c r="S192" i="1"/>
  <c r="V191" i="1"/>
  <c r="S191" i="1"/>
  <c r="V190" i="1"/>
  <c r="S190" i="1"/>
  <c r="V189" i="1"/>
  <c r="S189" i="1"/>
  <c r="V188" i="1"/>
  <c r="S188" i="1"/>
  <c r="V187" i="1"/>
  <c r="S187" i="1"/>
  <c r="V186" i="1"/>
  <c r="S186" i="1"/>
  <c r="V185" i="1"/>
  <c r="S185" i="1"/>
  <c r="V184" i="1"/>
  <c r="S184" i="1"/>
  <c r="V183" i="1"/>
  <c r="S183" i="1"/>
  <c r="V182" i="1"/>
  <c r="S182" i="1"/>
  <c r="V181" i="1"/>
  <c r="S181" i="1"/>
  <c r="V180" i="1"/>
  <c r="S180" i="1"/>
  <c r="V179" i="1"/>
  <c r="S179" i="1"/>
  <c r="V178" i="1"/>
  <c r="S178" i="1"/>
  <c r="V177" i="1"/>
  <c r="S177" i="1"/>
  <c r="V176" i="1"/>
  <c r="S176" i="1"/>
  <c r="V175" i="1"/>
  <c r="S175" i="1"/>
  <c r="V174" i="1"/>
  <c r="S174" i="1"/>
  <c r="V173" i="1"/>
  <c r="S173" i="1"/>
  <c r="V172" i="1"/>
  <c r="S172" i="1"/>
  <c r="V171" i="1"/>
  <c r="S171" i="1"/>
  <c r="V170" i="1"/>
  <c r="S170" i="1"/>
  <c r="V169" i="1"/>
  <c r="S169" i="1"/>
  <c r="V168" i="1"/>
  <c r="S168" i="1"/>
  <c r="V167" i="1"/>
  <c r="S167" i="1"/>
  <c r="V166" i="1"/>
  <c r="S166" i="1"/>
  <c r="V165" i="1"/>
  <c r="S165" i="1"/>
  <c r="V164" i="1"/>
  <c r="S164" i="1"/>
  <c r="V163" i="1"/>
  <c r="S163" i="1"/>
  <c r="V162" i="1"/>
  <c r="S162" i="1"/>
  <c r="V161" i="1"/>
  <c r="S161" i="1"/>
  <c r="V160" i="1"/>
  <c r="S160" i="1"/>
  <c r="V159" i="1"/>
  <c r="S159" i="1"/>
  <c r="V158" i="1"/>
  <c r="S158" i="1"/>
  <c r="V157" i="1"/>
  <c r="S157" i="1"/>
  <c r="V156" i="1"/>
  <c r="S156" i="1"/>
  <c r="V155" i="1"/>
  <c r="S155" i="1"/>
  <c r="V154" i="1"/>
  <c r="S154" i="1"/>
  <c r="V153" i="1"/>
  <c r="S153" i="1"/>
  <c r="V152" i="1"/>
  <c r="S152" i="1"/>
  <c r="V151" i="1"/>
  <c r="S151" i="1"/>
  <c r="V150" i="1"/>
  <c r="S150" i="1"/>
  <c r="V149" i="1"/>
  <c r="S149" i="1"/>
  <c r="V148" i="1"/>
  <c r="S148" i="1"/>
  <c r="V147" i="1"/>
  <c r="S147" i="1"/>
  <c r="V146" i="1"/>
  <c r="S146" i="1"/>
  <c r="V145" i="1"/>
  <c r="S145" i="1"/>
  <c r="V144" i="1"/>
  <c r="S144" i="1"/>
  <c r="V143" i="1"/>
  <c r="S143" i="1"/>
  <c r="V142" i="1"/>
  <c r="S142" i="1"/>
  <c r="V141" i="1"/>
  <c r="S141" i="1"/>
  <c r="V140" i="1"/>
  <c r="S140" i="1"/>
  <c r="V139" i="1"/>
  <c r="S139" i="1"/>
  <c r="V138" i="1"/>
  <c r="S138" i="1"/>
  <c r="V137" i="1"/>
  <c r="S137" i="1"/>
  <c r="V136" i="1"/>
  <c r="S136" i="1"/>
  <c r="V135" i="1"/>
  <c r="S135" i="1"/>
  <c r="V134" i="1"/>
  <c r="S134" i="1"/>
  <c r="V133" i="1"/>
  <c r="S133" i="1"/>
  <c r="V132" i="1"/>
  <c r="S132" i="1"/>
  <c r="V131" i="1"/>
  <c r="S131" i="1"/>
  <c r="V130" i="1"/>
  <c r="S130" i="1"/>
  <c r="V129" i="1"/>
  <c r="S129" i="1"/>
  <c r="V128" i="1"/>
  <c r="S128" i="1"/>
  <c r="V127" i="1"/>
  <c r="S127" i="1"/>
  <c r="V126" i="1"/>
  <c r="S126" i="1"/>
  <c r="V125" i="1"/>
  <c r="S125" i="1"/>
  <c r="V124" i="1"/>
  <c r="S124" i="1"/>
  <c r="V123" i="1"/>
  <c r="S123" i="1"/>
  <c r="V122" i="1"/>
  <c r="S122" i="1"/>
  <c r="V121" i="1"/>
  <c r="S121" i="1"/>
  <c r="V120" i="1"/>
  <c r="S120" i="1"/>
  <c r="V119" i="1"/>
  <c r="S119" i="1"/>
  <c r="V118" i="1"/>
  <c r="S118" i="1"/>
  <c r="V117" i="1"/>
  <c r="S117" i="1"/>
  <c r="V116" i="1"/>
  <c r="S116" i="1"/>
  <c r="V115" i="1"/>
  <c r="S115" i="1"/>
  <c r="V114" i="1"/>
  <c r="S114" i="1"/>
  <c r="V113" i="1"/>
  <c r="S113" i="1"/>
  <c r="V112" i="1"/>
  <c r="S112" i="1"/>
  <c r="V111" i="1"/>
  <c r="S111" i="1"/>
  <c r="V110" i="1"/>
  <c r="S110" i="1"/>
  <c r="V109" i="1"/>
  <c r="S109" i="1"/>
  <c r="V108" i="1"/>
  <c r="S108" i="1"/>
  <c r="V107" i="1"/>
  <c r="S107" i="1"/>
  <c r="V106" i="1"/>
  <c r="S106" i="1"/>
  <c r="V105" i="1"/>
  <c r="S105" i="1"/>
  <c r="V104" i="1"/>
  <c r="S104" i="1"/>
  <c r="V103" i="1"/>
  <c r="S103" i="1"/>
  <c r="V102" i="1"/>
  <c r="S102" i="1"/>
  <c r="V101" i="1"/>
  <c r="S101" i="1"/>
  <c r="V100" i="1"/>
  <c r="S100" i="1"/>
  <c r="V99" i="1"/>
  <c r="S99" i="1"/>
  <c r="V98" i="1"/>
  <c r="S98" i="1"/>
  <c r="V97" i="1"/>
  <c r="S97" i="1"/>
  <c r="V96" i="1"/>
  <c r="S96" i="1"/>
  <c r="V95" i="1"/>
  <c r="S95" i="1"/>
  <c r="V94" i="1"/>
  <c r="S94" i="1"/>
  <c r="V93" i="1"/>
  <c r="S93" i="1"/>
  <c r="V92" i="1"/>
  <c r="S92" i="1"/>
  <c r="V91" i="1"/>
  <c r="S91" i="1"/>
  <c r="V90" i="1"/>
  <c r="S90" i="1"/>
  <c r="V89" i="1"/>
  <c r="S89" i="1"/>
  <c r="V88" i="1"/>
  <c r="S88" i="1"/>
  <c r="V87" i="1"/>
  <c r="S87" i="1"/>
  <c r="V86" i="1"/>
  <c r="S86" i="1"/>
  <c r="V85" i="1"/>
  <c r="S85" i="1"/>
  <c r="V84" i="1"/>
  <c r="S84" i="1"/>
  <c r="V83" i="1"/>
  <c r="S83" i="1"/>
  <c r="V82" i="1"/>
  <c r="S82" i="1"/>
  <c r="V81" i="1"/>
  <c r="S81" i="1"/>
  <c r="V80" i="1"/>
  <c r="S80" i="1"/>
  <c r="V79" i="1"/>
  <c r="S79" i="1"/>
  <c r="V78" i="1"/>
  <c r="S78" i="1"/>
  <c r="V77" i="1"/>
  <c r="S77" i="1"/>
  <c r="V76" i="1"/>
  <c r="S76" i="1"/>
  <c r="V75" i="1"/>
  <c r="S75" i="1"/>
  <c r="V74" i="1"/>
  <c r="S74" i="1"/>
  <c r="V73" i="1"/>
  <c r="S73" i="1"/>
  <c r="V72" i="1"/>
  <c r="S72" i="1"/>
  <c r="V71" i="1"/>
  <c r="S71" i="1"/>
  <c r="V70" i="1"/>
  <c r="S70" i="1"/>
  <c r="V69" i="1"/>
  <c r="S69" i="1"/>
  <c r="V68" i="1"/>
  <c r="S68" i="1"/>
  <c r="V67" i="1"/>
  <c r="S67" i="1"/>
  <c r="V66" i="1"/>
  <c r="S66" i="1"/>
  <c r="V65" i="1"/>
  <c r="S65" i="1"/>
  <c r="V64" i="1"/>
  <c r="S64" i="1"/>
  <c r="V63" i="1"/>
  <c r="S63" i="1"/>
  <c r="V62" i="1"/>
  <c r="S62" i="1"/>
  <c r="V61" i="1"/>
  <c r="S61" i="1"/>
  <c r="V60" i="1"/>
  <c r="S60" i="1"/>
  <c r="V59" i="1"/>
  <c r="S59" i="1"/>
  <c r="V58" i="1"/>
  <c r="S58" i="1"/>
  <c r="V57" i="1"/>
  <c r="S57" i="1"/>
  <c r="V56" i="1"/>
  <c r="S56" i="1"/>
  <c r="V55" i="1"/>
  <c r="S55" i="1"/>
  <c r="V54" i="1"/>
  <c r="S54" i="1"/>
  <c r="V53" i="1"/>
  <c r="S53" i="1"/>
  <c r="V52" i="1"/>
  <c r="S52" i="1"/>
  <c r="V51" i="1"/>
  <c r="S51" i="1"/>
  <c r="V50" i="1"/>
  <c r="S50" i="1"/>
  <c r="V49" i="1"/>
  <c r="S49" i="1"/>
  <c r="V48" i="1"/>
  <c r="S48" i="1"/>
  <c r="V47" i="1"/>
  <c r="S47" i="1"/>
  <c r="V46" i="1"/>
  <c r="S46" i="1"/>
  <c r="V45" i="1"/>
  <c r="S45" i="1"/>
  <c r="V44" i="1"/>
  <c r="S44" i="1"/>
  <c r="V43" i="1"/>
  <c r="S43" i="1"/>
  <c r="V42" i="1"/>
  <c r="S42" i="1"/>
  <c r="V41" i="1"/>
  <c r="S41" i="1"/>
  <c r="V40" i="1"/>
  <c r="S40" i="1"/>
  <c r="V39" i="1"/>
  <c r="S39" i="1"/>
  <c r="V38" i="1"/>
  <c r="S38" i="1"/>
  <c r="V37" i="1"/>
  <c r="S37" i="1"/>
  <c r="V36" i="1"/>
  <c r="S36" i="1"/>
  <c r="V35" i="1"/>
  <c r="S35" i="1"/>
  <c r="V34" i="1"/>
  <c r="S34" i="1"/>
  <c r="V33" i="1"/>
  <c r="S33" i="1"/>
  <c r="V32" i="1"/>
  <c r="S32" i="1"/>
  <c r="V31" i="1"/>
  <c r="S31" i="1"/>
  <c r="V30" i="1"/>
  <c r="S30" i="1"/>
  <c r="V29" i="1"/>
  <c r="S29" i="1"/>
  <c r="V28" i="1"/>
  <c r="S28" i="1"/>
  <c r="V27" i="1"/>
  <c r="S27" i="1"/>
  <c r="V26" i="1"/>
  <c r="S26" i="1"/>
  <c r="V25" i="1"/>
  <c r="S25" i="1"/>
  <c r="V24" i="1"/>
  <c r="S24" i="1"/>
  <c r="V23" i="1"/>
  <c r="S23" i="1"/>
  <c r="V22" i="1"/>
  <c r="S22" i="1"/>
  <c r="V21" i="1"/>
  <c r="S21" i="1"/>
  <c r="V20" i="1"/>
  <c r="S20" i="1"/>
  <c r="V19" i="1"/>
  <c r="S19" i="1"/>
  <c r="V18" i="1"/>
  <c r="S18" i="1"/>
  <c r="V17" i="1"/>
  <c r="S17" i="1"/>
  <c r="V16" i="1"/>
  <c r="S16" i="1"/>
  <c r="V15" i="1"/>
  <c r="S15" i="1"/>
  <c r="V14" i="1"/>
  <c r="S14" i="1"/>
  <c r="V13" i="1"/>
  <c r="S13" i="1"/>
  <c r="V12" i="1"/>
  <c r="S12" i="1"/>
  <c r="V11" i="1"/>
  <c r="S11" i="1"/>
  <c r="V10" i="1"/>
  <c r="S10" i="1"/>
  <c r="V9" i="1"/>
  <c r="S9" i="1"/>
  <c r="V8" i="1"/>
  <c r="S8" i="1"/>
  <c r="V7" i="1"/>
  <c r="S7" i="1"/>
  <c r="V6" i="1"/>
  <c r="S6" i="1"/>
  <c r="V5" i="1"/>
  <c r="S5" i="1"/>
  <c r="V4" i="1"/>
  <c r="S4" i="1"/>
  <c r="V3" i="1"/>
  <c r="S3" i="1"/>
  <c r="V2" i="1"/>
  <c r="S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<sst xmlns="http://schemas.openxmlformats.org/spreadsheetml/2006/main" count="954" uniqueCount="467">
  <si>
    <t>First_Name</t>
  </si>
  <si>
    <t>Last_Name</t>
  </si>
  <si>
    <t>ID</t>
  </si>
  <si>
    <t>Team_Name</t>
  </si>
  <si>
    <t>Pitch_Type</t>
  </si>
  <si>
    <t>Run_Value</t>
  </si>
  <si>
    <t>Total_Pitches</t>
  </si>
  <si>
    <t>Percentage_Use</t>
  </si>
  <si>
    <t>xBA</t>
  </si>
  <si>
    <t>xSLG</t>
  </si>
  <si>
    <t>wOBA</t>
  </si>
  <si>
    <t>xwOBA</t>
  </si>
  <si>
    <t>Hard_Hit_Percentage</t>
  </si>
  <si>
    <t>Whiff_Percentage</t>
  </si>
  <si>
    <t>K_Percentage</t>
  </si>
  <si>
    <t>Avg_Bat_Speed</t>
  </si>
  <si>
    <t>Hard_Swing_Percentage</t>
  </si>
  <si>
    <t>Swing_Length</t>
  </si>
  <si>
    <t>Swing_Tilt</t>
  </si>
  <si>
    <t>Attack_Angle</t>
  </si>
  <si>
    <t>Attack_Direction</t>
  </si>
  <si>
    <t>Contact_Point_vs_Batter</t>
  </si>
  <si>
    <t>Ideal_Attack_Angle_Percentage</t>
  </si>
  <si>
    <t xml:space="preserve"> CJ</t>
  </si>
  <si>
    <t>Abrams</t>
  </si>
  <si>
    <t>WSH</t>
  </si>
  <si>
    <t>SI</t>
  </si>
  <si>
    <t>FF</t>
  </si>
  <si>
    <t xml:space="preserve"> Wilyer</t>
  </si>
  <si>
    <t>Abreu</t>
  </si>
  <si>
    <t>BOS</t>
  </si>
  <si>
    <t xml:space="preserve"> Ronald</t>
  </si>
  <si>
    <t>AcuÃ±a Jr.</t>
  </si>
  <si>
    <t>ATL</t>
  </si>
  <si>
    <t xml:space="preserve"> Willy</t>
  </si>
  <si>
    <t>Adames</t>
  </si>
  <si>
    <t>SF</t>
  </si>
  <si>
    <t xml:space="preserve"> Jo</t>
  </si>
  <si>
    <t>Adell</t>
  </si>
  <si>
    <t>LAA</t>
  </si>
  <si>
    <t xml:space="preserve"> Ozzie</t>
  </si>
  <si>
    <t>Albies</t>
  </si>
  <si>
    <t xml:space="preserve"> Pete</t>
  </si>
  <si>
    <t>Alonso</t>
  </si>
  <si>
    <t>NYM</t>
  </si>
  <si>
    <t xml:space="preserve"> Jose</t>
  </si>
  <si>
    <t>Altuve</t>
  </si>
  <si>
    <t>HOU</t>
  </si>
  <si>
    <t xml:space="preserve"> Jonathan</t>
  </si>
  <si>
    <t>Aranda</t>
  </si>
  <si>
    <t>TB</t>
  </si>
  <si>
    <t xml:space="preserve"> Nolan</t>
  </si>
  <si>
    <t>Arenado</t>
  </si>
  <si>
    <t>STL</t>
  </si>
  <si>
    <t xml:space="preserve"> Gabriel</t>
  </si>
  <si>
    <t>Arias</t>
  </si>
  <si>
    <t>CLE</t>
  </si>
  <si>
    <t xml:space="preserve"> Randy</t>
  </si>
  <si>
    <t>Arozarena</t>
  </si>
  <si>
    <t>SEA</t>
  </si>
  <si>
    <t xml:space="preserve"> Luis</t>
  </si>
  <si>
    <t>Arraez</t>
  </si>
  <si>
    <t>SD</t>
  </si>
  <si>
    <t xml:space="preserve"> Harrison</t>
  </si>
  <si>
    <t>Bader</t>
  </si>
  <si>
    <t>PHI</t>
  </si>
  <si>
    <t xml:space="preserve"> Javier</t>
  </si>
  <si>
    <t>Báez</t>
  </si>
  <si>
    <t>DET</t>
  </si>
  <si>
    <t xml:space="preserve"> Patrick</t>
  </si>
  <si>
    <t>Bailey</t>
  </si>
  <si>
    <t xml:space="preserve"> Drake</t>
  </si>
  <si>
    <t>Baldwin</t>
  </si>
  <si>
    <t xml:space="preserve"> Addison</t>
  </si>
  <si>
    <t>Barger</t>
  </si>
  <si>
    <t>TOR</t>
  </si>
  <si>
    <t xml:space="preserve"> Brett</t>
  </si>
  <si>
    <t>Baty</t>
  </si>
  <si>
    <t xml:space="preserve"> Jordan</t>
  </si>
  <si>
    <t>Beck</t>
  </si>
  <si>
    <t>COL</t>
  </si>
  <si>
    <t xml:space="preserve"> Josh</t>
  </si>
  <si>
    <t>Bell</t>
  </si>
  <si>
    <t xml:space="preserve"> Cody</t>
  </si>
  <si>
    <t>Bellinger</t>
  </si>
  <si>
    <t>NYY</t>
  </si>
  <si>
    <t xml:space="preserve"> Andrew</t>
  </si>
  <si>
    <t>Benintendi</t>
  </si>
  <si>
    <t>CWS</t>
  </si>
  <si>
    <t xml:space="preserve"> Mookie</t>
  </si>
  <si>
    <t>Betts</t>
  </si>
  <si>
    <t>LAD</t>
  </si>
  <si>
    <t xml:space="preserve"> Bo</t>
  </si>
  <si>
    <t>Bichette</t>
  </si>
  <si>
    <t xml:space="preserve"> Xander</t>
  </si>
  <si>
    <t>Bogaerts</t>
  </si>
  <si>
    <t xml:space="preserve"> Alec</t>
  </si>
  <si>
    <t>Bohm</t>
  </si>
  <si>
    <t xml:space="preserve"> Alex</t>
  </si>
  <si>
    <t>Bregman</t>
  </si>
  <si>
    <t xml:space="preserve"> Jake</t>
  </si>
  <si>
    <t>Burger</t>
  </si>
  <si>
    <t>TEX</t>
  </si>
  <si>
    <t>Burleson</t>
  </si>
  <si>
    <t xml:space="preserve"> Michael</t>
  </si>
  <si>
    <t>Busch</t>
  </si>
  <si>
    <t>CHC</t>
  </si>
  <si>
    <t xml:space="preserve"> Lawrence</t>
  </si>
  <si>
    <t>Butler</t>
  </si>
  <si>
    <t>ATH</t>
  </si>
  <si>
    <t xml:space="preserve"> Byron</t>
  </si>
  <si>
    <t>Buxton</t>
  </si>
  <si>
    <t>MIN</t>
  </si>
  <si>
    <t xml:space="preserve"> Junior</t>
  </si>
  <si>
    <t>Caminero</t>
  </si>
  <si>
    <t xml:space="preserve"> Kerry</t>
  </si>
  <si>
    <t>Carpenter</t>
  </si>
  <si>
    <t xml:space="preserve"> Corbin</t>
  </si>
  <si>
    <t>Carroll</t>
  </si>
  <si>
    <t>AZ</t>
  </si>
  <si>
    <t xml:space="preserve"> Nick</t>
  </si>
  <si>
    <t>Castellanos</t>
  </si>
  <si>
    <t xml:space="preserve"> Willi</t>
  </si>
  <si>
    <t>Castro</t>
  </si>
  <si>
    <t xml:space="preserve"> Matt</t>
  </si>
  <si>
    <t>Chapman</t>
  </si>
  <si>
    <t xml:space="preserve"> Jazz</t>
  </si>
  <si>
    <t>Chisholm Jr.</t>
  </si>
  <si>
    <t xml:space="preserve"> Jackson</t>
  </si>
  <si>
    <t>Chourio</t>
  </si>
  <si>
    <t>MIL</t>
  </si>
  <si>
    <t xml:space="preserve"> Kody</t>
  </si>
  <si>
    <t>Clemens</t>
  </si>
  <si>
    <t xml:space="preserve"> Ernie</t>
  </si>
  <si>
    <t>Clement</t>
  </si>
  <si>
    <t xml:space="preserve"> Isaac</t>
  </si>
  <si>
    <t>Collins</t>
  </si>
  <si>
    <t>Conforto</t>
  </si>
  <si>
    <t xml:space="preserve"> Willson</t>
  </si>
  <si>
    <t>Contreras</t>
  </si>
  <si>
    <t xml:space="preserve"> William</t>
  </si>
  <si>
    <t xml:space="preserve"> Carlos</t>
  </si>
  <si>
    <t>Correa</t>
  </si>
  <si>
    <t xml:space="preserve"> J.P.</t>
  </si>
  <si>
    <t>Crawford</t>
  </si>
  <si>
    <t>Cronenworth</t>
  </si>
  <si>
    <t>Crow-Armstrong</t>
  </si>
  <si>
    <t xml:space="preserve"> Oneil</t>
  </si>
  <si>
    <t>Cruz</t>
  </si>
  <si>
    <t>PIT</t>
  </si>
  <si>
    <t xml:space="preserve"> Yandy</t>
  </si>
  <si>
    <t>DÃ­az</t>
  </si>
  <si>
    <t xml:space="preserve"> Elly</t>
  </si>
  <si>
    <t>De La Cruz</t>
  </si>
  <si>
    <t>CIN</t>
  </si>
  <si>
    <t xml:space="preserve"> Rafael</t>
  </si>
  <si>
    <t>Devers</t>
  </si>
  <si>
    <t xml:space="preserve"> Yainer</t>
  </si>
  <si>
    <t>Diaz</t>
  </si>
  <si>
    <t xml:space="preserve"> Dillon</t>
  </si>
  <si>
    <t>Dingler</t>
  </si>
  <si>
    <t xml:space="preserve"> Jasson</t>
  </si>
  <si>
    <t>Domínguez</t>
  </si>
  <si>
    <t xml:space="preserve"> Brendan</t>
  </si>
  <si>
    <t>Donovan</t>
  </si>
  <si>
    <t xml:space="preserve"> Brenton</t>
  </si>
  <si>
    <t>Doyle</t>
  </si>
  <si>
    <t xml:space="preserve"> Jarren</t>
  </si>
  <si>
    <t>Duran</t>
  </si>
  <si>
    <t xml:space="preserve"> Caleb</t>
  </si>
  <si>
    <t>Durbin</t>
  </si>
  <si>
    <t xml:space="preserve"> Tommy</t>
  </si>
  <si>
    <t>Edman</t>
  </si>
  <si>
    <t xml:space="preserve"> Xavier</t>
  </si>
  <si>
    <t>Edwards</t>
  </si>
  <si>
    <t>MIA</t>
  </si>
  <si>
    <t xml:space="preserve"> Freddy</t>
  </si>
  <si>
    <t>Fermin</t>
  </si>
  <si>
    <t xml:space="preserve"> Wilmer</t>
  </si>
  <si>
    <t>Flores</t>
  </si>
  <si>
    <t xml:space="preserve"> Ty</t>
  </si>
  <si>
    <t>France</t>
  </si>
  <si>
    <t xml:space="preserve"> Adam</t>
  </si>
  <si>
    <t>Frazier</t>
  </si>
  <si>
    <t>KC</t>
  </si>
  <si>
    <t xml:space="preserve"> Tyler</t>
  </si>
  <si>
    <t>Freeman</t>
  </si>
  <si>
    <t xml:space="preserve"> Freddie</t>
  </si>
  <si>
    <t xml:space="preserve"> Sal</t>
  </si>
  <si>
    <t>Frelick</t>
  </si>
  <si>
    <t xml:space="preserve"> TJ</t>
  </si>
  <si>
    <t>Friedl</t>
  </si>
  <si>
    <t xml:space="preserve"> Adolis</t>
  </si>
  <si>
    <t>GarcÃ­a</t>
  </si>
  <si>
    <t>GarcÃ­a Jr.</t>
  </si>
  <si>
    <t xml:space="preserve"> Maikel</t>
  </si>
  <si>
    <t>Garcia</t>
  </si>
  <si>
    <t xml:space="preserve"> Andrés</t>
  </si>
  <si>
    <t>Giménez</t>
  </si>
  <si>
    <t xml:space="preserve"> Paul</t>
  </si>
  <si>
    <t>Goldschmidt</t>
  </si>
  <si>
    <t>Gonzales</t>
  </si>
  <si>
    <t xml:space="preserve"> Hunter</t>
  </si>
  <si>
    <t>Goodman</t>
  </si>
  <si>
    <t>Gorman</t>
  </si>
  <si>
    <t xml:space="preserve"> Riley</t>
  </si>
  <si>
    <t>Greene</t>
  </si>
  <si>
    <t xml:space="preserve"> Trent</t>
  </si>
  <si>
    <t>Grisham</t>
  </si>
  <si>
    <t xml:space="preserve"> Vladimir</t>
  </si>
  <si>
    <t>Guerrero Jr.</t>
  </si>
  <si>
    <t xml:space="preserve"> Lourdes</t>
  </si>
  <si>
    <t>Gurriel Jr.</t>
  </si>
  <si>
    <t xml:space="preserve"> Ian</t>
  </si>
  <si>
    <t>Happ</t>
  </si>
  <si>
    <t xml:space="preserve"> Bryce</t>
  </si>
  <si>
    <t>Harper</t>
  </si>
  <si>
    <t>Harris II</t>
  </si>
  <si>
    <t xml:space="preserve"> Ke'Bryan</t>
  </si>
  <si>
    <t>Hayes</t>
  </si>
  <si>
    <t xml:space="preserve"> Austin</t>
  </si>
  <si>
    <t>Hays</t>
  </si>
  <si>
    <t xml:space="preserve"> Jonah</t>
  </si>
  <si>
    <t>Heim</t>
  </si>
  <si>
    <t xml:space="preserve"> Gunnar</t>
  </si>
  <si>
    <t>Henderson</t>
  </si>
  <si>
    <t>BAL</t>
  </si>
  <si>
    <t xml:space="preserve"> Teoscar</t>
  </si>
  <si>
    <t>HernÃ¡ndez</t>
  </si>
  <si>
    <t xml:space="preserve"> IvÃ¡n</t>
  </si>
  <si>
    <t>Herrera</t>
  </si>
  <si>
    <t xml:space="preserve"> Nico</t>
  </si>
  <si>
    <t>Hoerner</t>
  </si>
  <si>
    <t>Holliday</t>
  </si>
  <si>
    <t xml:space="preserve"> Spencer</t>
  </si>
  <si>
    <t>Horwitz</t>
  </si>
  <si>
    <t>India</t>
  </si>
  <si>
    <t>Jones</t>
  </si>
  <si>
    <t xml:space="preserve"> Aaron</t>
  </si>
  <si>
    <t>Judge</t>
  </si>
  <si>
    <t>Jung</t>
  </si>
  <si>
    <t xml:space="preserve"> Colt</t>
  </si>
  <si>
    <t>Keith</t>
  </si>
  <si>
    <t xml:space="preserve"> Carson</t>
  </si>
  <si>
    <t>Kelly</t>
  </si>
  <si>
    <t xml:space="preserve"> Max</t>
  </si>
  <si>
    <t>Kepler</t>
  </si>
  <si>
    <t xml:space="preserve"> Isiah</t>
  </si>
  <si>
    <t>Kiner-Falefa</t>
  </si>
  <si>
    <t xml:space="preserve"> Alejandro</t>
  </si>
  <si>
    <t>Kirk</t>
  </si>
  <si>
    <t>Kurtz</t>
  </si>
  <si>
    <t xml:space="preserve"> Steven</t>
  </si>
  <si>
    <t>Kwan</t>
  </si>
  <si>
    <t xml:space="preserve"> Shea</t>
  </si>
  <si>
    <t>Langeliers</t>
  </si>
  <si>
    <t xml:space="preserve"> Wyatt</t>
  </si>
  <si>
    <t>Langford</t>
  </si>
  <si>
    <t xml:space="preserve"> Trevor</t>
  </si>
  <si>
    <t>Larnach</t>
  </si>
  <si>
    <t xml:space="preserve"> RamÃ³n</t>
  </si>
  <si>
    <t>Laureano</t>
  </si>
  <si>
    <t xml:space="preserve"> Jung Hoo</t>
  </si>
  <si>
    <t>Lee</t>
  </si>
  <si>
    <t xml:space="preserve"> Brooks</t>
  </si>
  <si>
    <t xml:space="preserve"> Royce</t>
  </si>
  <si>
    <t>Lewis</t>
  </si>
  <si>
    <t xml:space="preserve"> Francisco</t>
  </si>
  <si>
    <t>Lindor</t>
  </si>
  <si>
    <t xml:space="preserve"> Otto</t>
  </si>
  <si>
    <t>Lopez</t>
  </si>
  <si>
    <t xml:space="preserve"> Nathaniel</t>
  </si>
  <si>
    <t>Lowe</t>
  </si>
  <si>
    <t xml:space="preserve"> Brandon</t>
  </si>
  <si>
    <t xml:space="preserve"> Nathan</t>
  </si>
  <si>
    <t>Lukes</t>
  </si>
  <si>
    <t xml:space="preserve"> Gavin</t>
  </si>
  <si>
    <t>Lux</t>
  </si>
  <si>
    <t xml:space="preserve"> Manny</t>
  </si>
  <si>
    <t>Machado</t>
  </si>
  <si>
    <t>Mangum</t>
  </si>
  <si>
    <t xml:space="preserve"> Kyle</t>
  </si>
  <si>
    <t>Manzardo</t>
  </si>
  <si>
    <t>Marsh</t>
  </si>
  <si>
    <t xml:space="preserve"> Ketel</t>
  </si>
  <si>
    <t>Marte</t>
  </si>
  <si>
    <t xml:space="preserve"> Angel</t>
  </si>
  <si>
    <t>Martínez</t>
  </si>
  <si>
    <t>McCutchen</t>
  </si>
  <si>
    <t xml:space="preserve"> Zach</t>
  </si>
  <si>
    <t>McKinstry</t>
  </si>
  <si>
    <t>McLain</t>
  </si>
  <si>
    <t xml:space="preserve"> Ryan</t>
  </si>
  <si>
    <t>McMahon</t>
  </si>
  <si>
    <t xml:space="preserve"> Jeff</t>
  </si>
  <si>
    <t>McNeil</t>
  </si>
  <si>
    <t xml:space="preserve"> Chase</t>
  </si>
  <si>
    <t>Meidroth</t>
  </si>
  <si>
    <t>Merrill</t>
  </si>
  <si>
    <t xml:space="preserve"> Mickey</t>
  </si>
  <si>
    <t>Moniak</t>
  </si>
  <si>
    <t>Mountcastle</t>
  </si>
  <si>
    <t xml:space="preserve"> Cedric</t>
  </si>
  <si>
    <t>Mullins</t>
  </si>
  <si>
    <t>Muncy</t>
  </si>
  <si>
    <t>NarvÃ¡ez</t>
  </si>
  <si>
    <t>Naylor</t>
  </si>
  <si>
    <t>Neto</t>
  </si>
  <si>
    <t>Nimmo</t>
  </si>
  <si>
    <t xml:space="preserve"> Lars</t>
  </si>
  <si>
    <t>Nootbaar</t>
  </si>
  <si>
    <t>O'Hearn</t>
  </si>
  <si>
    <t xml:space="preserve"> Logan</t>
  </si>
  <si>
    <t>O'Hoppe</t>
  </si>
  <si>
    <t xml:space="preserve"> Shohei</t>
  </si>
  <si>
    <t>Ohtani</t>
  </si>
  <si>
    <t>Olson</t>
  </si>
  <si>
    <t xml:space="preserve"> Joey</t>
  </si>
  <si>
    <t>Ortiz</t>
  </si>
  <si>
    <t xml:space="preserve"> Marcell</t>
  </si>
  <si>
    <t>Ozuna</t>
  </si>
  <si>
    <t xml:space="preserve"> Pedro</t>
  </si>
  <si>
    <t>PagÃ©s</t>
  </si>
  <si>
    <t xml:space="preserve"> Andy</t>
  </si>
  <si>
    <t>Pages</t>
  </si>
  <si>
    <t>Paredes</t>
  </si>
  <si>
    <t xml:space="preserve"> Vinnie</t>
  </si>
  <si>
    <t>Pasquantino</t>
  </si>
  <si>
    <t xml:space="preserve"> Jeremy</t>
  </si>
  <si>
    <t>PeÃ±a</t>
  </si>
  <si>
    <t xml:space="preserve"> Geraldo</t>
  </si>
  <si>
    <t>Perdomo</t>
  </si>
  <si>
    <t xml:space="preserve"> Wenceel</t>
  </si>
  <si>
    <t>Pérez</t>
  </si>
  <si>
    <t xml:space="preserve"> Salvador</t>
  </si>
  <si>
    <t>Perez</t>
  </si>
  <si>
    <t>Pham</t>
  </si>
  <si>
    <t xml:space="preserve"> Jorge</t>
  </si>
  <si>
    <t>Polanco</t>
  </si>
  <si>
    <t xml:space="preserve"> Edgar</t>
  </si>
  <si>
    <t>Quero</t>
  </si>
  <si>
    <t xml:space="preserve"> Ceddanne</t>
  </si>
  <si>
    <t>Rafaela</t>
  </si>
  <si>
    <t xml:space="preserve"> Cal</t>
  </si>
  <si>
    <t>Raleigh</t>
  </si>
  <si>
    <t xml:space="preserve"> JosÃ©</t>
  </si>
  <si>
    <t>RamÃ­rez</t>
  </si>
  <si>
    <t xml:space="preserve"> AgustÃ­n</t>
  </si>
  <si>
    <t xml:space="preserve"> Heliot</t>
  </si>
  <si>
    <t>Ramos</t>
  </si>
  <si>
    <t xml:space="preserve"> J.T.</t>
  </si>
  <si>
    <t>Realmuto</t>
  </si>
  <si>
    <t>Rengifo</t>
  </si>
  <si>
    <t xml:space="preserve"> Bryan</t>
  </si>
  <si>
    <t>Reynolds</t>
  </si>
  <si>
    <t xml:space="preserve"> Ben</t>
  </si>
  <si>
    <t>Rice</t>
  </si>
  <si>
    <t>Riley</t>
  </si>
  <si>
    <t>Robert Jr.</t>
  </si>
  <si>
    <t xml:space="preserve"> Brayan</t>
  </si>
  <si>
    <t>Rocchio</t>
  </si>
  <si>
    <t xml:space="preserve"> Julio</t>
  </si>
  <si>
    <t>RodrÃ­guez</t>
  </si>
  <si>
    <t xml:space="preserve"> Brent</t>
  </si>
  <si>
    <t>Rooker</t>
  </si>
  <si>
    <t xml:space="preserve"> Jesús</t>
  </si>
  <si>
    <t>Sánchez</t>
  </si>
  <si>
    <t>Santana</t>
  </si>
  <si>
    <t>Schanuel</t>
  </si>
  <si>
    <t xml:space="preserve"> Daniel</t>
  </si>
  <si>
    <t>Schneemann</t>
  </si>
  <si>
    <t>Schwarber</t>
  </si>
  <si>
    <t xml:space="preserve"> Victor</t>
  </si>
  <si>
    <t>Scott II</t>
  </si>
  <si>
    <t xml:space="preserve"> Corey</t>
  </si>
  <si>
    <t>Seager</t>
  </si>
  <si>
    <t xml:space="preserve"> Marcus</t>
  </si>
  <si>
    <t>Semien</t>
  </si>
  <si>
    <t>Shaw</t>
  </si>
  <si>
    <t>Sheets</t>
  </si>
  <si>
    <t xml:space="preserve"> Cam</t>
  </si>
  <si>
    <t>Smith</t>
  </si>
  <si>
    <t xml:space="preserve"> Will</t>
  </si>
  <si>
    <t>Soderstrom</t>
  </si>
  <si>
    <t xml:space="preserve"> Lenyn</t>
  </si>
  <si>
    <t>Sosa</t>
  </si>
  <si>
    <t xml:space="preserve"> Juan</t>
  </si>
  <si>
    <t>Soto</t>
  </si>
  <si>
    <t xml:space="preserve"> George</t>
  </si>
  <si>
    <t>Springer</t>
  </si>
  <si>
    <t>Steer</t>
  </si>
  <si>
    <t>Story</t>
  </si>
  <si>
    <t xml:space="preserve"> Bryson</t>
  </si>
  <si>
    <t>Stott</t>
  </si>
  <si>
    <t>Stowers</t>
  </si>
  <si>
    <t xml:space="preserve"> Eugenio</t>
  </si>
  <si>
    <t>SuÃ¡rez</t>
  </si>
  <si>
    <t xml:space="preserve"> Seiya</t>
  </si>
  <si>
    <t>Suzuki</t>
  </si>
  <si>
    <t xml:space="preserve"> Dansby</t>
  </si>
  <si>
    <t>Swanson</t>
  </si>
  <si>
    <t xml:space="preserve"> Fernando</t>
  </si>
  <si>
    <t>Tatis Jr.</t>
  </si>
  <si>
    <t xml:space="preserve"> Mike</t>
  </si>
  <si>
    <t>Tauchman</t>
  </si>
  <si>
    <t xml:space="preserve"> Alek</t>
  </si>
  <si>
    <t>Thomas</t>
  </si>
  <si>
    <t>Toglia</t>
  </si>
  <si>
    <t>Torkelson</t>
  </si>
  <si>
    <t xml:space="preserve"> Gleyber</t>
  </si>
  <si>
    <t>Torres</t>
  </si>
  <si>
    <t xml:space="preserve"> Ezequiel</t>
  </si>
  <si>
    <t>Tovar</t>
  </si>
  <si>
    <t>Trout</t>
  </si>
  <si>
    <t>Tucker</t>
  </si>
  <si>
    <t xml:space="preserve"> Brice</t>
  </si>
  <si>
    <t>Turang</t>
  </si>
  <si>
    <t xml:space="preserve"> Trea</t>
  </si>
  <si>
    <t>Turner</t>
  </si>
  <si>
    <t xml:space="preserve"> Miguel</t>
  </si>
  <si>
    <t>Vargas</t>
  </si>
  <si>
    <t>Vaughn</t>
  </si>
  <si>
    <t xml:space="preserve"> Mark</t>
  </si>
  <si>
    <t>Vientos</t>
  </si>
  <si>
    <t xml:space="preserve"> Anthony</t>
  </si>
  <si>
    <t>Volpe</t>
  </si>
  <si>
    <t xml:space="preserve"> Eric</t>
  </si>
  <si>
    <t>Wagaman</t>
  </si>
  <si>
    <t>Walker</t>
  </si>
  <si>
    <t xml:space="preserve"> Christian</t>
  </si>
  <si>
    <t>Wallner</t>
  </si>
  <si>
    <t xml:space="preserve"> Taylor</t>
  </si>
  <si>
    <t>Ward</t>
  </si>
  <si>
    <t>Wells</t>
  </si>
  <si>
    <t xml:space="preserve"> Jacob</t>
  </si>
  <si>
    <t>Wilson</t>
  </si>
  <si>
    <t xml:space="preserve"> Masyn</t>
  </si>
  <si>
    <t>Winn</t>
  </si>
  <si>
    <t xml:space="preserve"> Bobby</t>
  </si>
  <si>
    <t>Witt Jr.</t>
  </si>
  <si>
    <t xml:space="preserve"> James</t>
  </si>
  <si>
    <t>Wood</t>
  </si>
  <si>
    <t>Yastrzemski</t>
  </si>
  <si>
    <t>Yelich</t>
  </si>
  <si>
    <t>Attack_Angle_Category</t>
  </si>
  <si>
    <t>Swing_Length_Category</t>
  </si>
  <si>
    <t>Average</t>
  </si>
  <si>
    <t>Flat</t>
  </si>
  <si>
    <t>Steep</t>
  </si>
  <si>
    <t>AVG</t>
  </si>
  <si>
    <t>Attack Angle</t>
  </si>
  <si>
    <t>Long</t>
  </si>
  <si>
    <t>Short</t>
  </si>
  <si>
    <t>N/A</t>
  </si>
  <si>
    <r>
      <rPr>
        <b/>
        <sz val="11"/>
        <color rgb="FF000000"/>
        <rFont val="Calibri"/>
        <family val="2"/>
      </rPr>
      <t xml:space="preserve">2025 Hard Hit % vs. FB </t>
    </r>
    <r>
      <rPr>
        <b/>
        <sz val="9"/>
        <color rgb="FF000000"/>
        <rFont val="Calibri"/>
        <family val="2"/>
      </rPr>
      <t>(League Avg. = 47.4)</t>
    </r>
  </si>
  <si>
    <t>Swing Length (ft.)</t>
  </si>
  <si>
    <t/>
  </si>
  <si>
    <t>Attack Direction</t>
  </si>
  <si>
    <t>Contact Point vs. Batter</t>
  </si>
  <si>
    <t>Swing Length</t>
  </si>
  <si>
    <t>Swing Tilt</t>
  </si>
  <si>
    <t>The sum distance traveled by the head of the bat in XYZ space from the start of data until contact point (MLB League Average ~ 7.3 ft.)</t>
  </si>
  <si>
    <t>The "average" point at which their bat is nearest to the baseball on a swing (whether or not they make contact), measured relative to the batter's center of mass. This is also known as "Intercept Point".</t>
  </si>
  <si>
    <r>
      <t xml:space="preserve">Key Definitions (according to </t>
    </r>
    <r>
      <rPr>
        <i/>
        <sz val="15"/>
        <color theme="1"/>
        <rFont val="Aptos Narrow"/>
        <family val="2"/>
        <scheme val="minor"/>
      </rPr>
      <t>Baseball Savant</t>
    </r>
    <r>
      <rPr>
        <sz val="15"/>
        <color theme="1"/>
        <rFont val="Aptos Narrow"/>
        <family val="2"/>
        <scheme val="minor"/>
      </rPr>
      <t>)</t>
    </r>
  </si>
  <si>
    <t>The vertical direction that the sweet spot of the bat is traveling at the moment it hits the baseball, as compared to the ground (Between 5-20 degrees is cosidered "ideal")</t>
  </si>
  <si>
    <t>The horizontal direction that the sweet spot of the bat is moving at the point of contact with the baseball (or the point the bat and ball cross paths on a swing-and-miss)</t>
  </si>
  <si>
    <t>A metric that measures the angular orientation of the "plane" of the swing and tells you the shape of a hitter's swing on the way toward contact. The tilt of the swing is defined as the vertical angle formed by the bat path compared to the ground. A higher angle is a "steeper" swing (closer to 90 degrees) and a lower angle is a "flatter" swing (closer to 0 degrees).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</si>
</sst>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000000"/>
      <name val="Calibri"/>
      <family val="2"/>
    </font>
    <font>
      <b/>
      <sz val="9"/>
      <color rgb="FF000000"/>
      <name val="Calibri"/>
      <family val="2"/>
    </font>
    <font>
      <b/>
      <sz val="8.25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Aptos Narrow"/>
      <family val="2"/>
    </font>
    <font>
      <sz val="15"/>
      <color theme="1"/>
      <name val="Aptos Narrow"/>
      <family val="2"/>
      <scheme val="minor"/>
    </font>
    <font>
      <i/>
      <sz val="15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20" fillId="33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6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33" borderId="17" xfId="0" applyFont="1" applyFill="1" applyBorder="1" applyAlignment="1">
      <alignment horizontal="center" vertical="center" wrapText="1"/>
    </xf>
    <xf numFmtId="0" fontId="20" fillId="34" borderId="25" xfId="0" applyFont="1" applyFill="1" applyBorder="1" applyAlignment="1">
      <alignment horizontal="left" vertical="center" wrapText="1"/>
    </xf>
    <xf numFmtId="0" fontId="20" fillId="34" borderId="26" xfId="0" applyFont="1" applyFill="1" applyBorder="1" applyAlignment="1">
      <alignment horizontal="left" vertical="center" wrapText="1"/>
    </xf>
    <xf numFmtId="0" fontId="20" fillId="35" borderId="27" xfId="0" applyFont="1" applyFill="1" applyBorder="1" applyAlignment="1">
      <alignment horizontal="left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3" borderId="28" xfId="0" applyFont="1" applyFill="1" applyBorder="1" applyAlignment="1">
      <alignment horizontal="center" vertical="center" wrapText="1"/>
    </xf>
    <xf numFmtId="0" fontId="20" fillId="34" borderId="29" xfId="0" applyFont="1" applyFill="1" applyBorder="1" applyAlignment="1">
      <alignment horizontal="center" vertical="center" wrapText="1"/>
    </xf>
    <xf numFmtId="0" fontId="20" fillId="34" borderId="30" xfId="0" applyFont="1" applyFill="1" applyBorder="1" applyAlignment="1">
      <alignment horizontal="center" vertical="center" wrapText="1"/>
    </xf>
    <xf numFmtId="0" fontId="20" fillId="35" borderId="31" xfId="0" applyFont="1" applyFill="1" applyBorder="1" applyAlignment="1">
      <alignment horizontal="center" vertical="center" wrapText="1"/>
    </xf>
    <xf numFmtId="0" fontId="20" fillId="33" borderId="12" xfId="0" applyFont="1" applyFill="1" applyBorder="1" applyAlignment="1">
      <alignment horizontal="center" vertical="center" wrapText="1"/>
    </xf>
    <xf numFmtId="0" fontId="20" fillId="33" borderId="32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0" fontId="20" fillId="34" borderId="21" xfId="0" applyFont="1" applyFill="1" applyBorder="1" applyAlignment="1">
      <alignment horizontal="center" vertical="center"/>
    </xf>
    <xf numFmtId="0" fontId="20" fillId="34" borderId="22" xfId="0" applyFont="1" applyFill="1" applyBorder="1" applyAlignment="1">
      <alignment horizontal="center" vertical="center"/>
    </xf>
    <xf numFmtId="0" fontId="20" fillId="34" borderId="2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left" vertical="center" wrapText="1"/>
    </xf>
    <xf numFmtId="0" fontId="19" fillId="34" borderId="18" xfId="0" applyFont="1" applyFill="1" applyBorder="1" applyAlignment="1">
      <alignment horizontal="left" vertical="center" wrapText="1"/>
    </xf>
    <xf numFmtId="0" fontId="19" fillId="34" borderId="19" xfId="0" applyFont="1" applyFill="1" applyBorder="1" applyAlignment="1">
      <alignment horizontal="left" vertical="center" wrapText="1"/>
    </xf>
    <xf numFmtId="0" fontId="19" fillId="34" borderId="20" xfId="0" applyFont="1" applyFill="1" applyBorder="1" applyAlignment="1">
      <alignment horizontal="left" vertical="center" wrapText="1"/>
    </xf>
    <xf numFmtId="0" fontId="19" fillId="34" borderId="14" xfId="0" applyFont="1" applyFill="1" applyBorder="1" applyAlignment="1">
      <alignment horizontal="left" vertical="center" wrapText="1"/>
    </xf>
    <xf numFmtId="0" fontId="19" fillId="34" borderId="24" xfId="0" applyFont="1" applyFill="1" applyBorder="1" applyAlignment="1">
      <alignment horizontal="left" vertical="center" wrapText="1"/>
    </xf>
    <xf numFmtId="0" fontId="0" fillId="0" borderId="0" xfId="0" quotePrefix="1"/>
    <xf numFmtId="0" fontId="23" fillId="0" borderId="39" xfId="0" applyFont="1" applyBorder="1" applyAlignment="1">
      <alignment horizontal="left"/>
    </xf>
    <xf numFmtId="0" fontId="22" fillId="35" borderId="41" xfId="0" applyFont="1" applyFill="1" applyBorder="1" applyAlignment="1">
      <alignment horizontal="left" wrapText="1"/>
    </xf>
    <xf numFmtId="0" fontId="22" fillId="35" borderId="12" xfId="0" applyFont="1" applyFill="1" applyBorder="1" applyAlignment="1">
      <alignment horizontal="left" wrapText="1"/>
    </xf>
    <xf numFmtId="0" fontId="22" fillId="35" borderId="35" xfId="0" applyFont="1" applyFill="1" applyBorder="1" applyAlignment="1">
      <alignment horizontal="left" wrapText="1"/>
    </xf>
    <xf numFmtId="0" fontId="22" fillId="35" borderId="36" xfId="0" applyFont="1" applyFill="1" applyBorder="1" applyAlignment="1">
      <alignment horizontal="left" wrapText="1"/>
    </xf>
    <xf numFmtId="0" fontId="22" fillId="35" borderId="37" xfId="0" applyFont="1" applyFill="1" applyBorder="1" applyAlignment="1">
      <alignment horizontal="left" wrapText="1"/>
    </xf>
    <xf numFmtId="0" fontId="22" fillId="35" borderId="10" xfId="0" applyFont="1" applyFill="1" applyBorder="1" applyAlignment="1">
      <alignment horizontal="left" wrapText="1"/>
    </xf>
    <xf numFmtId="0" fontId="22" fillId="35" borderId="15" xfId="0" applyFont="1" applyFill="1" applyBorder="1" applyAlignment="1">
      <alignment horizontal="left" wrapText="1"/>
    </xf>
    <xf numFmtId="0" fontId="22" fillId="35" borderId="38" xfId="0" applyFont="1" applyFill="1" applyBorder="1" applyAlignment="1">
      <alignment horizontal="left" wrapText="1"/>
    </xf>
    <xf numFmtId="0" fontId="22" fillId="35" borderId="16" xfId="0" applyFont="1" applyFill="1" applyBorder="1" applyAlignment="1">
      <alignment horizontal="left" wrapText="1"/>
    </xf>
    <xf numFmtId="0" fontId="22" fillId="35" borderId="17" xfId="0" applyFont="1" applyFill="1" applyBorder="1" applyAlignment="1">
      <alignment horizontal="left" wrapText="1"/>
    </xf>
    <xf numFmtId="0" fontId="16" fillId="36" borderId="40" xfId="0" applyFont="1" applyFill="1" applyBorder="1" applyAlignment="1">
      <alignment vertical="center"/>
    </xf>
    <xf numFmtId="0" fontId="16" fillId="36" borderId="33" xfId="0" applyFont="1" applyFill="1" applyBorder="1" applyAlignment="1">
      <alignment vertical="center"/>
    </xf>
    <xf numFmtId="0" fontId="16" fillId="36" borderId="33" xfId="0" applyFont="1" applyFill="1" applyBorder="1" applyAlignment="1">
      <alignment horizontal="left" vertical="center"/>
    </xf>
    <xf numFmtId="0" fontId="16" fillId="36" borderId="34" xfId="0" applyFont="1" applyFill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AC64-B203-4072-9FFD-785F53260E9E}">
  <dimension ref="A1:Y404"/>
  <sheetViews>
    <sheetView topLeftCell="G1" workbookViewId="0">
      <selection activeCell="V3" sqref="V3"/>
    </sheetView>
  </sheetViews>
  <sheetFormatPr defaultRowHeight="14.4" x14ac:dyDescent="0.3"/>
  <cols>
    <col min="1" max="1" width="10.109375" bestFit="1" customWidth="1"/>
    <col min="2" max="2" width="14.109375" bestFit="1" customWidth="1"/>
    <col min="3" max="3" width="6.77734375" style="1" bestFit="1" customWidth="1"/>
    <col min="4" max="4" width="10.88671875" style="1" bestFit="1" customWidth="1"/>
    <col min="5" max="5" width="9.5546875" style="1" bestFit="1" customWidth="1"/>
    <col min="6" max="6" width="9.21875" style="1" bestFit="1" customWidth="1"/>
    <col min="7" max="7" width="11.77734375" style="1" bestFit="1" customWidth="1"/>
    <col min="8" max="8" width="14.21875" style="1" bestFit="1" customWidth="1"/>
    <col min="9" max="11" width="5.77734375" style="1" bestFit="1" customWidth="1"/>
    <col min="12" max="12" width="6.44140625" style="1" bestFit="1" customWidth="1"/>
    <col min="13" max="13" width="18.21875" style="1" bestFit="1" customWidth="1"/>
    <col min="14" max="14" width="15.21875" style="1" bestFit="1" customWidth="1"/>
    <col min="15" max="15" width="11.88671875" style="1" bestFit="1" customWidth="1"/>
    <col min="16" max="16" width="13.109375" style="1" bestFit="1" customWidth="1"/>
    <col min="17" max="17" width="20.44140625" style="1" bestFit="1" customWidth="1"/>
    <col min="18" max="18" width="11.77734375" style="1" bestFit="1" customWidth="1"/>
    <col min="19" max="19" width="20" style="1" bestFit="1" customWidth="1"/>
    <col min="20" max="20" width="8.77734375" style="1"/>
    <col min="21" max="21" width="11.33203125" style="1" bestFit="1" customWidth="1"/>
    <col min="22" max="22" width="19.6640625" style="1" bestFit="1" customWidth="1"/>
    <col min="23" max="23" width="14.44140625" style="1" bestFit="1" customWidth="1"/>
    <col min="24" max="24" width="20.88671875" style="1" bestFit="1" customWidth="1"/>
    <col min="25" max="25" width="26.5546875" style="1" bestFit="1" customWidth="1"/>
  </cols>
  <sheetData>
    <row r="1" spans="1:25" x14ac:dyDescent="0.3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445</v>
      </c>
      <c r="T1" s="1" t="s">
        <v>18</v>
      </c>
      <c r="U1" s="1" t="s">
        <v>19</v>
      </c>
      <c r="V1" s="1" t="s">
        <v>444</v>
      </c>
      <c r="W1" s="1" t="s">
        <v>20</v>
      </c>
      <c r="X1" s="1" t="s">
        <v>21</v>
      </c>
      <c r="Y1" s="1" t="s">
        <v>22</v>
      </c>
    </row>
    <row r="2" spans="1:25" x14ac:dyDescent="0.3">
      <c r="A2" t="s">
        <v>23</v>
      </c>
      <c r="B2" t="s">
        <v>24</v>
      </c>
      <c r="C2" s="1">
        <v>682928</v>
      </c>
      <c r="D2" s="1" t="s">
        <v>25</v>
      </c>
      <c r="E2" s="1" t="s">
        <v>26</v>
      </c>
      <c r="F2" s="1">
        <v>4</v>
      </c>
      <c r="G2" s="1">
        <v>294</v>
      </c>
      <c r="H2" s="1">
        <v>12.7</v>
      </c>
      <c r="I2" s="1">
        <v>0.27800000000000002</v>
      </c>
      <c r="J2" s="1">
        <v>0.46500000000000002</v>
      </c>
      <c r="K2" s="1">
        <v>0.38900000000000001</v>
      </c>
      <c r="L2" s="1">
        <v>0.35799999999999998</v>
      </c>
      <c r="M2" s="1">
        <v>41.7</v>
      </c>
      <c r="N2" s="1">
        <v>13.9</v>
      </c>
      <c r="O2" s="1">
        <v>12.7</v>
      </c>
      <c r="P2" s="1">
        <v>72.2</v>
      </c>
      <c r="Q2" s="1">
        <v>0.23699999999999999</v>
      </c>
      <c r="R2" s="1">
        <v>7.2</v>
      </c>
      <c r="S2" s="1" t="str" cm="1">
        <f t="array" ref="S2">_xlfn.IFS(R2&lt;6.5, "Short_Swing", R2&lt;=7.4, "Average_Swing", R2&gt;=7.5, "Long_Swing")</f>
        <v>Average_Swing</v>
      </c>
      <c r="T2" s="1">
        <v>27.3</v>
      </c>
      <c r="U2" s="1">
        <v>10.9</v>
      </c>
      <c r="V2" s="1" t="str" cm="1">
        <f t="array" ref="V2">_xlfn.IFS(U2&lt;6,"Flat",U2&lt;=14,"Average",U2&gt;14,"Steep")</f>
        <v>Average</v>
      </c>
      <c r="W2" s="1">
        <v>-3.8</v>
      </c>
      <c r="X2" s="1">
        <v>31.7</v>
      </c>
      <c r="Y2" s="1">
        <v>59</v>
      </c>
    </row>
    <row r="3" spans="1:25" x14ac:dyDescent="0.3">
      <c r="A3" t="s">
        <v>28</v>
      </c>
      <c r="B3" t="s">
        <v>29</v>
      </c>
      <c r="C3" s="1">
        <v>677800</v>
      </c>
      <c r="D3" s="1" t="s">
        <v>30</v>
      </c>
      <c r="E3" s="1" t="s">
        <v>27</v>
      </c>
      <c r="F3" s="1">
        <v>-2</v>
      </c>
      <c r="G3" s="1">
        <v>695</v>
      </c>
      <c r="H3" s="1">
        <v>43.4</v>
      </c>
      <c r="I3" s="1">
        <v>0.184</v>
      </c>
      <c r="J3" s="1">
        <v>0.42399999999999999</v>
      </c>
      <c r="K3" s="1">
        <v>0.30199999999999999</v>
      </c>
      <c r="L3" s="1">
        <v>0.307</v>
      </c>
      <c r="M3" s="1">
        <v>45.5</v>
      </c>
      <c r="N3" s="1">
        <v>23</v>
      </c>
      <c r="O3" s="1">
        <v>26.7</v>
      </c>
      <c r="P3" s="1">
        <v>74</v>
      </c>
      <c r="Q3" s="1">
        <v>0.39500000000000002</v>
      </c>
      <c r="R3" s="1">
        <v>6.8</v>
      </c>
      <c r="S3" s="1" t="str" cm="1">
        <f t="array" ref="S3">_xlfn.IFS(R3&lt;6.5, "Short_Swing", R3&lt;=7.4, "Average_Swing", R3&gt;=7.5, "Long_Swing")</f>
        <v>Average_Swing</v>
      </c>
      <c r="T3" s="1">
        <v>31.2</v>
      </c>
      <c r="U3" s="1">
        <v>9.5</v>
      </c>
      <c r="V3" s="1" t="str" cm="1">
        <f t="array" ref="V3">_xlfn.IFS(U3&lt;6,"Flat",U3&lt;=14,"Average",U3&gt;14,"Steep")</f>
        <v>Average</v>
      </c>
      <c r="W3" s="1">
        <v>-1.2</v>
      </c>
      <c r="X3" s="1">
        <v>31.4</v>
      </c>
      <c r="Y3" s="1">
        <v>57.6</v>
      </c>
    </row>
    <row r="4" spans="1:25" x14ac:dyDescent="0.3">
      <c r="A4" t="s">
        <v>31</v>
      </c>
      <c r="B4" t="s">
        <v>32</v>
      </c>
      <c r="C4" s="1">
        <v>660670</v>
      </c>
      <c r="D4" s="1" t="s">
        <v>33</v>
      </c>
      <c r="E4" s="1" t="s">
        <v>26</v>
      </c>
      <c r="F4" s="1">
        <v>6</v>
      </c>
      <c r="G4" s="1">
        <v>332</v>
      </c>
      <c r="H4" s="1">
        <v>19.100000000000001</v>
      </c>
      <c r="I4" s="1">
        <v>0.35399999999999998</v>
      </c>
      <c r="J4" s="1">
        <v>0.58799999999999997</v>
      </c>
      <c r="K4" s="1">
        <v>0.46</v>
      </c>
      <c r="L4" s="1">
        <v>0.44500000000000001</v>
      </c>
      <c r="M4" s="1">
        <v>46.3</v>
      </c>
      <c r="N4" s="1">
        <v>18.3</v>
      </c>
      <c r="O4" s="1">
        <v>13.3</v>
      </c>
      <c r="P4" s="1">
        <v>76</v>
      </c>
      <c r="Q4" s="1">
        <v>0.627</v>
      </c>
      <c r="R4" s="1">
        <v>7.3</v>
      </c>
      <c r="S4" s="1" t="str" cm="1">
        <f t="array" ref="S4">_xlfn.IFS(R4&lt;6.5, "Short_Swing", R4&lt;=7.4, "Average_Swing", R4&gt;=7.5, "Long_Swing")</f>
        <v>Average_Swing</v>
      </c>
      <c r="T4" s="1">
        <v>38.700000000000003</v>
      </c>
      <c r="U4" s="1">
        <v>11.9</v>
      </c>
      <c r="V4" s="1" t="str" cm="1">
        <f t="array" ref="V4">_xlfn.IFS(U4&lt;6,"Flat",U4&lt;=14,"Average",U4&gt;14,"Steep")</f>
        <v>Average</v>
      </c>
      <c r="W4" s="1">
        <v>6.2</v>
      </c>
      <c r="X4" s="1">
        <v>30.2</v>
      </c>
      <c r="Y4" s="1">
        <v>50.9</v>
      </c>
    </row>
    <row r="5" spans="1:25" x14ac:dyDescent="0.3">
      <c r="A5" t="s">
        <v>34</v>
      </c>
      <c r="B5" t="s">
        <v>35</v>
      </c>
      <c r="C5" s="1">
        <v>642715</v>
      </c>
      <c r="D5" s="1" t="s">
        <v>36</v>
      </c>
      <c r="E5" s="1" t="s">
        <v>26</v>
      </c>
      <c r="F5" s="1">
        <v>5</v>
      </c>
      <c r="G5" s="1">
        <v>495</v>
      </c>
      <c r="H5" s="1">
        <v>17.7</v>
      </c>
      <c r="I5" s="1">
        <v>0.255</v>
      </c>
      <c r="J5" s="1">
        <v>0.41399999999999998</v>
      </c>
      <c r="K5" s="1">
        <v>0.371</v>
      </c>
      <c r="L5" s="1">
        <v>0.36199999999999999</v>
      </c>
      <c r="M5" s="1">
        <v>30.8</v>
      </c>
      <c r="N5" s="1">
        <v>17.899999999999999</v>
      </c>
      <c r="O5" s="1">
        <v>13.8</v>
      </c>
      <c r="P5" s="1">
        <v>72.599999999999994</v>
      </c>
      <c r="Q5" s="1">
        <v>0.23300000000000001</v>
      </c>
      <c r="R5" s="1">
        <v>7.8</v>
      </c>
      <c r="S5" s="1" t="str" cm="1">
        <f t="array" ref="S5">_xlfn.IFS(R5&lt;6.5, "Short_Swing", R5&lt;=7.4, "Average_Swing", R5&gt;=7.5, "Long_Swing")</f>
        <v>Long_Swing</v>
      </c>
      <c r="T5" s="1">
        <v>35.299999999999997</v>
      </c>
      <c r="U5" s="1">
        <v>18.399999999999999</v>
      </c>
      <c r="V5" s="1" t="str" cm="1">
        <f t="array" ref="V5">_xlfn.IFS(U5&lt;6,"Flat",U5&lt;=14,"Average",U5&gt;14,"Steep")</f>
        <v>Steep</v>
      </c>
      <c r="W5" s="1">
        <v>-3.9</v>
      </c>
      <c r="X5" s="1">
        <v>31.6</v>
      </c>
      <c r="Y5" s="1">
        <v>50.3</v>
      </c>
    </row>
    <row r="6" spans="1:25" x14ac:dyDescent="0.3">
      <c r="A6" t="s">
        <v>37</v>
      </c>
      <c r="B6" t="s">
        <v>38</v>
      </c>
      <c r="C6" s="1">
        <v>666176</v>
      </c>
      <c r="D6" s="1" t="s">
        <v>39</v>
      </c>
      <c r="E6" s="1" t="s">
        <v>27</v>
      </c>
      <c r="F6" s="1">
        <v>4</v>
      </c>
      <c r="G6" s="1">
        <v>670</v>
      </c>
      <c r="H6" s="1">
        <v>30.2</v>
      </c>
      <c r="I6" s="1">
        <v>0.27300000000000002</v>
      </c>
      <c r="J6" s="1">
        <v>0.57299999999999995</v>
      </c>
      <c r="K6" s="1">
        <v>0.33800000000000002</v>
      </c>
      <c r="L6" s="1">
        <v>0.38100000000000001</v>
      </c>
      <c r="M6" s="1">
        <v>52.1</v>
      </c>
      <c r="N6" s="1">
        <v>23.7</v>
      </c>
      <c r="O6" s="1">
        <v>27.9</v>
      </c>
      <c r="P6" s="1">
        <v>77.900000000000006</v>
      </c>
      <c r="Q6" s="1">
        <v>0.77900000000000003</v>
      </c>
      <c r="R6" s="1">
        <v>7.4</v>
      </c>
      <c r="S6" s="1" t="str" cm="1">
        <f t="array" ref="S6">_xlfn.IFS(R6&lt;6.5, "Short_Swing", R6&lt;=7.4, "Average_Swing", R6&gt;=7.5, "Long_Swing")</f>
        <v>Average_Swing</v>
      </c>
      <c r="T6" s="1">
        <v>33.799999999999997</v>
      </c>
      <c r="U6" s="1">
        <v>8</v>
      </c>
      <c r="V6" s="1" t="str" cm="1">
        <f t="array" ref="V6">_xlfn.IFS(U6&lt;6,"Flat",U6&lt;=14,"Average",U6&gt;14,"Steep")</f>
        <v>Average</v>
      </c>
      <c r="W6" s="1">
        <v>-5.9</v>
      </c>
      <c r="X6" s="1">
        <v>26.1</v>
      </c>
      <c r="Y6" s="1">
        <v>49.5</v>
      </c>
    </row>
    <row r="7" spans="1:25" x14ac:dyDescent="0.3">
      <c r="A7" t="s">
        <v>40</v>
      </c>
      <c r="B7" t="s">
        <v>41</v>
      </c>
      <c r="C7" s="1">
        <v>645277</v>
      </c>
      <c r="D7" s="1" t="s">
        <v>33</v>
      </c>
      <c r="E7" s="1" t="s">
        <v>26</v>
      </c>
      <c r="F7" s="1">
        <v>-1</v>
      </c>
      <c r="G7" s="1">
        <v>324</v>
      </c>
      <c r="H7" s="1">
        <v>13.5</v>
      </c>
      <c r="I7" s="1">
        <v>0.28000000000000003</v>
      </c>
      <c r="J7" s="1">
        <v>0.39800000000000002</v>
      </c>
      <c r="K7" s="1">
        <v>0.34699999999999998</v>
      </c>
      <c r="L7" s="1">
        <v>0.34399999999999997</v>
      </c>
      <c r="M7" s="1">
        <v>47.6</v>
      </c>
      <c r="N7" s="1">
        <v>15.8</v>
      </c>
      <c r="O7" s="1">
        <v>7.8</v>
      </c>
      <c r="P7" s="1">
        <v>69.8</v>
      </c>
      <c r="Q7" s="1">
        <v>0.08</v>
      </c>
      <c r="R7" s="1">
        <v>7</v>
      </c>
      <c r="S7" s="1" t="str" cm="1">
        <f t="array" ref="S7">_xlfn.IFS(R7&lt;6.5, "Short_Swing", R7&lt;=7.4, "Average_Swing", R7&gt;=7.5, "Long_Swing")</f>
        <v>Average_Swing</v>
      </c>
      <c r="T7" s="1">
        <v>34.9</v>
      </c>
      <c r="U7" s="1">
        <v>12.7</v>
      </c>
      <c r="V7" s="1" t="str" cm="1">
        <f t="array" ref="V7">_xlfn.IFS(U7&lt;6,"Flat",U7&lt;=14,"Average",U7&gt;14,"Steep")</f>
        <v>Average</v>
      </c>
      <c r="W7" s="1">
        <v>-5.3</v>
      </c>
      <c r="X7" s="1">
        <v>36.9</v>
      </c>
      <c r="Y7" s="1">
        <v>58.5</v>
      </c>
    </row>
    <row r="8" spans="1:25" x14ac:dyDescent="0.3">
      <c r="A8" t="s">
        <v>42</v>
      </c>
      <c r="B8" t="s">
        <v>43</v>
      </c>
      <c r="C8" s="1">
        <v>624413</v>
      </c>
      <c r="D8" s="1" t="s">
        <v>44</v>
      </c>
      <c r="E8" s="1" t="s">
        <v>26</v>
      </c>
      <c r="F8" s="1">
        <v>11</v>
      </c>
      <c r="G8" s="1">
        <v>595</v>
      </c>
      <c r="H8" s="1">
        <v>21.2</v>
      </c>
      <c r="I8" s="1">
        <v>0.32800000000000001</v>
      </c>
      <c r="J8" s="1">
        <v>0.59099999999999997</v>
      </c>
      <c r="K8" s="1">
        <v>0.43099999999999999</v>
      </c>
      <c r="L8" s="1">
        <v>0.42099999999999999</v>
      </c>
      <c r="M8" s="1">
        <v>45.1</v>
      </c>
      <c r="N8" s="1">
        <v>14.6</v>
      </c>
      <c r="O8" s="1">
        <v>9.6999999999999993</v>
      </c>
      <c r="P8" s="1">
        <v>75.2</v>
      </c>
      <c r="Q8" s="1">
        <v>0.53100000000000003</v>
      </c>
      <c r="R8" s="1">
        <v>6.7</v>
      </c>
      <c r="S8" s="1" t="str" cm="1">
        <f t="array" ref="S8">_xlfn.IFS(R8&lt;6.5, "Short_Swing", R8&lt;=7.4, "Average_Swing", R8&gt;=7.5, "Long_Swing")</f>
        <v>Average_Swing</v>
      </c>
      <c r="T8" s="1">
        <v>33.799999999999997</v>
      </c>
      <c r="U8" s="1">
        <v>10.1</v>
      </c>
      <c r="V8" s="1" t="str" cm="1">
        <f t="array" ref="V8">_xlfn.IFS(U8&lt;6,"Flat",U8&lt;=14,"Average",U8&gt;14,"Steep")</f>
        <v>Average</v>
      </c>
      <c r="W8" s="1">
        <v>1.1000000000000001</v>
      </c>
      <c r="X8" s="1">
        <v>28.3</v>
      </c>
      <c r="Y8" s="1">
        <v>59.8</v>
      </c>
    </row>
    <row r="9" spans="1:25" x14ac:dyDescent="0.3">
      <c r="A9" t="s">
        <v>45</v>
      </c>
      <c r="B9" t="s">
        <v>46</v>
      </c>
      <c r="C9" s="1">
        <v>514888</v>
      </c>
      <c r="D9" s="1" t="s">
        <v>47</v>
      </c>
      <c r="E9" s="1" t="s">
        <v>26</v>
      </c>
      <c r="F9" s="1">
        <v>-1</v>
      </c>
      <c r="G9" s="1">
        <v>482</v>
      </c>
      <c r="H9" s="1">
        <v>20.8</v>
      </c>
      <c r="I9" s="1">
        <v>0.27900000000000003</v>
      </c>
      <c r="J9" s="1">
        <v>0.42399999999999999</v>
      </c>
      <c r="K9" s="1">
        <v>0.36099999999999999</v>
      </c>
      <c r="L9" s="1">
        <v>0.34799999999999998</v>
      </c>
      <c r="M9" s="1">
        <v>33.700000000000003</v>
      </c>
      <c r="N9" s="1">
        <v>12.8</v>
      </c>
      <c r="O9" s="1">
        <v>11.2</v>
      </c>
      <c r="P9" s="1">
        <v>70.599999999999994</v>
      </c>
      <c r="Q9" s="1">
        <v>0.13100000000000001</v>
      </c>
      <c r="R9" s="1">
        <v>7.3</v>
      </c>
      <c r="S9" s="1" t="str" cm="1">
        <f t="array" ref="S9">_xlfn.IFS(R9&lt;6.5, "Short_Swing", R9&lt;=7.4, "Average_Swing", R9&gt;=7.5, "Long_Swing")</f>
        <v>Average_Swing</v>
      </c>
      <c r="T9" s="1">
        <v>28.8</v>
      </c>
      <c r="U9" s="1">
        <v>15.3</v>
      </c>
      <c r="V9" s="1" t="str" cm="1">
        <f t="array" ref="V9">_xlfn.IFS(U9&lt;6,"Flat",U9&lt;=14,"Average",U9&gt;14,"Steep")</f>
        <v>Steep</v>
      </c>
      <c r="W9" s="1">
        <v>-5.7</v>
      </c>
      <c r="X9" s="1">
        <v>30.1</v>
      </c>
      <c r="Y9" s="1">
        <v>55.3</v>
      </c>
    </row>
    <row r="10" spans="1:25" x14ac:dyDescent="0.3">
      <c r="A10" t="s">
        <v>48</v>
      </c>
      <c r="B10" t="s">
        <v>49</v>
      </c>
      <c r="C10" s="1">
        <v>666018</v>
      </c>
      <c r="D10" s="1" t="s">
        <v>50</v>
      </c>
      <c r="E10" s="1" t="s">
        <v>27</v>
      </c>
      <c r="F10" s="1">
        <v>11</v>
      </c>
      <c r="G10" s="1">
        <v>613</v>
      </c>
      <c r="H10" s="1">
        <v>35.799999999999997</v>
      </c>
      <c r="I10" s="1">
        <v>0.28399999999999997</v>
      </c>
      <c r="J10" s="1">
        <v>0.54200000000000004</v>
      </c>
      <c r="K10" s="1">
        <v>0.439</v>
      </c>
      <c r="L10" s="1">
        <v>0.40799999999999997</v>
      </c>
      <c r="M10" s="1">
        <v>56.5</v>
      </c>
      <c r="N10" s="1">
        <v>24.1</v>
      </c>
      <c r="O10" s="1">
        <v>28.2</v>
      </c>
      <c r="P10" s="1">
        <v>69.599999999999994</v>
      </c>
      <c r="Q10" s="1">
        <v>9.0999999999999998E-2</v>
      </c>
      <c r="R10" s="1">
        <v>6.9</v>
      </c>
      <c r="S10" s="1" t="str" cm="1">
        <f t="array" ref="S10">_xlfn.IFS(R10&lt;6.5, "Short_Swing", R10&lt;=7.4, "Average_Swing", R10&gt;=7.5, "Long_Swing")</f>
        <v>Average_Swing</v>
      </c>
      <c r="T10" s="1">
        <v>35.6</v>
      </c>
      <c r="U10" s="1">
        <v>10.199999999999999</v>
      </c>
      <c r="V10" s="1" t="str" cm="1">
        <f t="array" ref="V10">_xlfn.IFS(U10&lt;6,"Flat",U10&lt;=14,"Average",U10&gt;14,"Steep")</f>
        <v>Average</v>
      </c>
      <c r="W10" s="1">
        <v>3.6</v>
      </c>
      <c r="X10" s="1">
        <v>27.3</v>
      </c>
      <c r="Y10" s="1">
        <v>56.2</v>
      </c>
    </row>
    <row r="11" spans="1:25" x14ac:dyDescent="0.3">
      <c r="A11" t="s">
        <v>51</v>
      </c>
      <c r="B11" t="s">
        <v>52</v>
      </c>
      <c r="C11" s="1">
        <v>571448</v>
      </c>
      <c r="D11" s="1" t="s">
        <v>53</v>
      </c>
      <c r="E11" s="1" t="s">
        <v>26</v>
      </c>
      <c r="F11" s="1">
        <v>-5</v>
      </c>
      <c r="G11" s="1">
        <v>297</v>
      </c>
      <c r="H11" s="1">
        <v>18.7</v>
      </c>
      <c r="I11" s="1">
        <v>0.29799999999999999</v>
      </c>
      <c r="J11" s="1">
        <v>0.41199999999999998</v>
      </c>
      <c r="K11" s="1">
        <v>0.26600000000000001</v>
      </c>
      <c r="L11" s="1">
        <v>0.32</v>
      </c>
      <c r="M11" s="1">
        <v>47.9</v>
      </c>
      <c r="N11" s="1">
        <v>4.8</v>
      </c>
      <c r="O11" s="1">
        <v>5.0999999999999996</v>
      </c>
      <c r="P11" s="1">
        <v>71.8</v>
      </c>
      <c r="Q11" s="1">
        <v>0.17299999999999999</v>
      </c>
      <c r="R11" s="1">
        <v>8.1</v>
      </c>
      <c r="S11" s="1" t="str" cm="1">
        <f t="array" ref="S11">_xlfn.IFS(R11&lt;6.5, "Short_Swing", R11&lt;=7.4, "Average_Swing", R11&gt;=7.5, "Long_Swing")</f>
        <v>Long_Swing</v>
      </c>
      <c r="T11" s="1">
        <v>33.200000000000003</v>
      </c>
      <c r="U11" s="1">
        <v>10.5</v>
      </c>
      <c r="V11" s="1" t="str" cm="1">
        <f t="array" ref="V11">_xlfn.IFS(U11&lt;6,"Flat",U11&lt;=14,"Average",U11&gt;14,"Steep")</f>
        <v>Average</v>
      </c>
      <c r="W11" s="1">
        <v>-9</v>
      </c>
      <c r="X11" s="1">
        <v>34.9</v>
      </c>
      <c r="Y11" s="1">
        <v>56.5</v>
      </c>
    </row>
    <row r="12" spans="1:25" x14ac:dyDescent="0.3">
      <c r="A12" t="s">
        <v>54</v>
      </c>
      <c r="B12" t="s">
        <v>55</v>
      </c>
      <c r="C12" s="1">
        <v>672356</v>
      </c>
      <c r="D12" s="1" t="s">
        <v>56</v>
      </c>
      <c r="E12" s="1" t="s">
        <v>26</v>
      </c>
      <c r="F12" s="1">
        <v>-3</v>
      </c>
      <c r="G12" s="1">
        <v>316</v>
      </c>
      <c r="H12" s="1">
        <v>17.600000000000001</v>
      </c>
      <c r="I12" s="1">
        <v>0.26100000000000001</v>
      </c>
      <c r="J12" s="1">
        <v>0.41799999999999998</v>
      </c>
      <c r="K12" s="1">
        <v>0.32300000000000001</v>
      </c>
      <c r="L12" s="1">
        <v>0.34300000000000003</v>
      </c>
      <c r="M12" s="1">
        <v>35.4</v>
      </c>
      <c r="N12" s="1">
        <v>28.6</v>
      </c>
      <c r="O12" s="1">
        <v>14.4</v>
      </c>
      <c r="P12" s="1">
        <v>75.3</v>
      </c>
      <c r="Q12" s="1">
        <v>0.57499999999999996</v>
      </c>
      <c r="R12" s="1">
        <v>7.2</v>
      </c>
      <c r="S12" s="1" t="str" cm="1">
        <f t="array" ref="S12">_xlfn.IFS(R12&lt;6.5, "Short_Swing", R12&lt;=7.4, "Average_Swing", R12&gt;=7.5, "Long_Swing")</f>
        <v>Average_Swing</v>
      </c>
      <c r="T12" s="1">
        <v>29.1</v>
      </c>
      <c r="U12" s="1">
        <v>9.6999999999999993</v>
      </c>
      <c r="V12" s="1" t="str" cm="1">
        <f t="array" ref="V12">_xlfn.IFS(U12&lt;6,"Flat",U12&lt;=14,"Average",U12&gt;14,"Steep")</f>
        <v>Average</v>
      </c>
      <c r="W12" s="1">
        <v>1.2</v>
      </c>
      <c r="X12" s="1">
        <v>34.4</v>
      </c>
      <c r="Y12" s="1">
        <v>53.7</v>
      </c>
    </row>
    <row r="13" spans="1:25" x14ac:dyDescent="0.3">
      <c r="A13" t="s">
        <v>57</v>
      </c>
      <c r="B13" t="s">
        <v>58</v>
      </c>
      <c r="C13" s="1">
        <v>668227</v>
      </c>
      <c r="D13" s="1" t="s">
        <v>59</v>
      </c>
      <c r="E13" s="1" t="s">
        <v>26</v>
      </c>
      <c r="F13" s="1">
        <v>4</v>
      </c>
      <c r="G13" s="1">
        <v>541</v>
      </c>
      <c r="H13" s="1">
        <v>18.8</v>
      </c>
      <c r="I13" s="1">
        <v>0.25600000000000001</v>
      </c>
      <c r="J13" s="1">
        <v>0.41399999999999998</v>
      </c>
      <c r="K13" s="1">
        <v>0.4</v>
      </c>
      <c r="L13" s="1">
        <v>0.36199999999999999</v>
      </c>
      <c r="M13" s="1">
        <v>49.5</v>
      </c>
      <c r="N13" s="1">
        <v>22.8</v>
      </c>
      <c r="O13" s="1">
        <v>13.9</v>
      </c>
      <c r="P13" s="1">
        <v>72.8</v>
      </c>
      <c r="Q13" s="1">
        <v>0.32500000000000001</v>
      </c>
      <c r="R13" s="1">
        <v>7.2</v>
      </c>
      <c r="S13" s="1" t="str" cm="1">
        <f t="array" ref="S13">_xlfn.IFS(R13&lt;6.5, "Short_Swing", R13&lt;=7.4, "Average_Swing", R13&gt;=7.5, "Long_Swing")</f>
        <v>Average_Swing</v>
      </c>
      <c r="T13" s="1">
        <v>25.3</v>
      </c>
      <c r="U13" s="1">
        <v>8.6999999999999993</v>
      </c>
      <c r="V13" s="1" t="str" cm="1">
        <f t="array" ref="V13">_xlfn.IFS(U13&lt;6,"Flat",U13&lt;=14,"Average",U13&gt;14,"Steep")</f>
        <v>Average</v>
      </c>
      <c r="W13" s="1">
        <v>0.4</v>
      </c>
      <c r="X13" s="1">
        <v>31.2</v>
      </c>
      <c r="Y13" s="1">
        <v>62.1</v>
      </c>
    </row>
    <row r="14" spans="1:25" x14ac:dyDescent="0.3">
      <c r="A14" t="s">
        <v>60</v>
      </c>
      <c r="B14" t="s">
        <v>61</v>
      </c>
      <c r="C14" s="1">
        <v>650333</v>
      </c>
      <c r="D14" s="1" t="s">
        <v>62</v>
      </c>
      <c r="E14" s="1" t="s">
        <v>26</v>
      </c>
      <c r="F14" s="1">
        <v>-14</v>
      </c>
      <c r="G14" s="1">
        <v>454</v>
      </c>
      <c r="H14" s="1">
        <v>18.399999999999999</v>
      </c>
      <c r="I14" s="1">
        <v>0.27</v>
      </c>
      <c r="J14" s="1">
        <v>0.33300000000000002</v>
      </c>
      <c r="K14" s="1">
        <v>0.192</v>
      </c>
      <c r="L14" s="1">
        <v>0.28699999999999998</v>
      </c>
      <c r="M14" s="1">
        <v>16.5</v>
      </c>
      <c r="N14" s="1">
        <v>4.2</v>
      </c>
      <c r="O14" s="1">
        <v>0.8</v>
      </c>
      <c r="P14" s="1">
        <v>62.1</v>
      </c>
      <c r="Q14" s="1">
        <v>2E-3</v>
      </c>
      <c r="R14" s="1">
        <v>5.6</v>
      </c>
      <c r="S14" s="1" t="str" cm="1">
        <f t="array" ref="S14">_xlfn.IFS(R14&lt;6.5, "Short_Swing", R14&lt;=7.4, "Average_Swing", R14&gt;=7.5, "Long_Swing")</f>
        <v>Short_Swing</v>
      </c>
      <c r="T14" s="1">
        <v>37.4</v>
      </c>
      <c r="U14" s="1">
        <v>5.6</v>
      </c>
      <c r="V14" s="1" t="str" cm="1">
        <f t="array" ref="V14">_xlfn.IFS(U14&lt;6,"Flat",U14&lt;=14,"Average",U14&gt;14,"Steep")</f>
        <v>Flat</v>
      </c>
      <c r="W14" s="1">
        <v>4.5999999999999996</v>
      </c>
      <c r="X14" s="1">
        <v>31.5</v>
      </c>
      <c r="Y14" s="1">
        <v>40.299999999999997</v>
      </c>
    </row>
    <row r="15" spans="1:25" x14ac:dyDescent="0.3">
      <c r="A15" t="s">
        <v>63</v>
      </c>
      <c r="B15" t="s">
        <v>64</v>
      </c>
      <c r="C15" s="1">
        <v>664056</v>
      </c>
      <c r="D15" s="1" t="s">
        <v>65</v>
      </c>
      <c r="E15" s="1" t="s">
        <v>27</v>
      </c>
      <c r="F15" s="1">
        <v>-1</v>
      </c>
      <c r="G15" s="1">
        <v>623</v>
      </c>
      <c r="H15" s="1">
        <v>32.1</v>
      </c>
      <c r="I15" s="1">
        <v>0.19700000000000001</v>
      </c>
      <c r="J15" s="1">
        <v>0.33800000000000002</v>
      </c>
      <c r="K15" s="1">
        <v>0.32900000000000001</v>
      </c>
      <c r="L15" s="1">
        <v>0.29299999999999998</v>
      </c>
      <c r="M15" s="1">
        <v>54.8</v>
      </c>
      <c r="N15" s="1">
        <v>24.7</v>
      </c>
      <c r="O15" s="1">
        <v>31.8</v>
      </c>
      <c r="P15" s="1">
        <v>72.8</v>
      </c>
      <c r="Q15" s="1">
        <v>0.32400000000000001</v>
      </c>
      <c r="R15" s="1">
        <v>6.6</v>
      </c>
      <c r="S15" s="1" t="str" cm="1">
        <f t="array" ref="S15">_xlfn.IFS(R15&lt;6.5, "Short_Swing", R15&lt;=7.4, "Average_Swing", R15&gt;=7.5, "Long_Swing")</f>
        <v>Average_Swing</v>
      </c>
      <c r="T15" s="1">
        <v>25.4</v>
      </c>
      <c r="U15" s="1">
        <v>12</v>
      </c>
      <c r="V15" s="1" t="str" cm="1">
        <f t="array" ref="V15">_xlfn.IFS(U15&lt;6,"Flat",U15&lt;=14,"Average",U15&gt;14,"Steep")</f>
        <v>Average</v>
      </c>
      <c r="W15" s="1">
        <v>-5.4</v>
      </c>
      <c r="X15" s="1">
        <v>33.6</v>
      </c>
      <c r="Y15" s="1">
        <v>50.1</v>
      </c>
    </row>
    <row r="16" spans="1:25" x14ac:dyDescent="0.3">
      <c r="A16" t="s">
        <v>66</v>
      </c>
      <c r="B16" t="s">
        <v>67</v>
      </c>
      <c r="C16" s="1">
        <v>595879</v>
      </c>
      <c r="D16" s="1" t="s">
        <v>68</v>
      </c>
      <c r="E16" s="1" t="s">
        <v>27</v>
      </c>
      <c r="F16" s="1">
        <v>-4</v>
      </c>
      <c r="G16" s="1">
        <v>475</v>
      </c>
      <c r="H16" s="1">
        <v>30.8</v>
      </c>
      <c r="I16" s="1">
        <v>0.28699999999999998</v>
      </c>
      <c r="J16" s="1">
        <v>0.46100000000000002</v>
      </c>
      <c r="K16" s="1">
        <v>0.26100000000000001</v>
      </c>
      <c r="L16" s="1">
        <v>0.32300000000000001</v>
      </c>
      <c r="M16" s="1">
        <v>48.8</v>
      </c>
      <c r="N16" s="1">
        <v>27.8</v>
      </c>
      <c r="O16" s="1">
        <v>27.2</v>
      </c>
      <c r="P16" s="1">
        <v>73.3</v>
      </c>
      <c r="Q16" s="1">
        <v>0.34399999999999997</v>
      </c>
      <c r="R16" s="1">
        <v>7.7</v>
      </c>
      <c r="S16" s="1" t="str" cm="1">
        <f t="array" ref="S16">_xlfn.IFS(R16&lt;6.5, "Short_Swing", R16&lt;=7.4, "Average_Swing", R16&gt;=7.5, "Long_Swing")</f>
        <v>Long_Swing</v>
      </c>
      <c r="T16" s="1">
        <v>30.3</v>
      </c>
      <c r="U16" s="1">
        <v>10</v>
      </c>
      <c r="V16" s="1" t="str" cm="1">
        <f t="array" ref="V16">_xlfn.IFS(U16&lt;6,"Flat",U16&lt;=14,"Average",U16&gt;14,"Steep")</f>
        <v>Average</v>
      </c>
      <c r="W16" s="1">
        <v>-5.6</v>
      </c>
      <c r="X16" s="1">
        <v>29.8</v>
      </c>
      <c r="Y16" s="1">
        <v>50.5</v>
      </c>
    </row>
    <row r="17" spans="1:25" x14ac:dyDescent="0.3">
      <c r="A17" t="s">
        <v>69</v>
      </c>
      <c r="B17" t="s">
        <v>70</v>
      </c>
      <c r="C17" s="1">
        <v>672275</v>
      </c>
      <c r="D17" s="1" t="s">
        <v>36</v>
      </c>
      <c r="E17" s="1" t="s">
        <v>27</v>
      </c>
      <c r="F17" s="1">
        <v>-5</v>
      </c>
      <c r="G17" s="1">
        <v>657</v>
      </c>
      <c r="H17" s="1">
        <v>38.1</v>
      </c>
      <c r="I17" s="1">
        <v>0.20699999999999999</v>
      </c>
      <c r="J17" s="1">
        <v>0.33100000000000002</v>
      </c>
      <c r="K17" s="1">
        <v>0.314</v>
      </c>
      <c r="L17" s="1">
        <v>0.28299999999999997</v>
      </c>
      <c r="M17" s="1">
        <v>45.2</v>
      </c>
      <c r="N17" s="1">
        <v>21.6</v>
      </c>
      <c r="O17" s="1">
        <v>28.6</v>
      </c>
      <c r="P17" s="1">
        <v>71.7</v>
      </c>
      <c r="Q17" s="1">
        <v>0.16700000000000001</v>
      </c>
      <c r="R17" s="1">
        <v>6.8</v>
      </c>
      <c r="S17" s="1" t="str" cm="1">
        <f t="array" ref="S17">_xlfn.IFS(R17&lt;6.5, "Short_Swing", R17&lt;=7.4, "Average_Swing", R17&gt;=7.5, "Long_Swing")</f>
        <v>Average_Swing</v>
      </c>
      <c r="T17" s="1">
        <v>32.9</v>
      </c>
      <c r="U17" s="1">
        <v>8.5</v>
      </c>
      <c r="V17" s="1" t="str" cm="1">
        <f t="array" ref="V17">_xlfn.IFS(U17&lt;6,"Flat",U17&lt;=14,"Average",U17&gt;14,"Steep")</f>
        <v>Average</v>
      </c>
      <c r="W17" s="1">
        <v>-3.5</v>
      </c>
      <c r="X17" s="1">
        <v>30.4</v>
      </c>
      <c r="Y17" s="1">
        <v>45.5</v>
      </c>
    </row>
    <row r="18" spans="1:25" x14ac:dyDescent="0.3">
      <c r="A18" t="s">
        <v>71</v>
      </c>
      <c r="B18" t="s">
        <v>72</v>
      </c>
      <c r="C18" s="1">
        <v>686948</v>
      </c>
      <c r="D18" s="1" t="s">
        <v>33</v>
      </c>
      <c r="E18" s="1" t="s">
        <v>27</v>
      </c>
      <c r="F18" s="1">
        <v>11</v>
      </c>
      <c r="G18" s="1">
        <v>484</v>
      </c>
      <c r="H18" s="1">
        <v>27.7</v>
      </c>
      <c r="I18" s="1">
        <v>0.30399999999999999</v>
      </c>
      <c r="J18" s="1">
        <v>0.55500000000000005</v>
      </c>
      <c r="K18" s="1">
        <v>0.44700000000000001</v>
      </c>
      <c r="L18" s="1">
        <v>0.41399999999999998</v>
      </c>
      <c r="M18" s="1">
        <v>59.5</v>
      </c>
      <c r="N18" s="1">
        <v>19.399999999999999</v>
      </c>
      <c r="O18" s="1">
        <v>12.2</v>
      </c>
      <c r="P18" s="1">
        <v>75</v>
      </c>
      <c r="Q18" s="1">
        <v>0.53600000000000003</v>
      </c>
      <c r="R18" s="1">
        <v>6.7</v>
      </c>
      <c r="S18" s="1" t="str" cm="1">
        <f t="array" ref="S18">_xlfn.IFS(R18&lt;6.5, "Short_Swing", R18&lt;=7.4, "Average_Swing", R18&gt;=7.5, "Long_Swing")</f>
        <v>Average_Swing</v>
      </c>
      <c r="T18" s="1">
        <v>31.7</v>
      </c>
      <c r="U18" s="1">
        <v>9.4</v>
      </c>
      <c r="V18" s="1" t="str" cm="1">
        <f t="array" ref="V18">_xlfn.IFS(U18&lt;6,"Flat",U18&lt;=14,"Average",U18&gt;14,"Steep")</f>
        <v>Average</v>
      </c>
      <c r="W18" s="1">
        <v>3.2</v>
      </c>
      <c r="X18" s="1">
        <v>28.7</v>
      </c>
      <c r="Y18" s="1">
        <v>48.1</v>
      </c>
    </row>
    <row r="19" spans="1:25" x14ac:dyDescent="0.3">
      <c r="A19" t="s">
        <v>73</v>
      </c>
      <c r="B19" t="s">
        <v>74</v>
      </c>
      <c r="C19" s="1">
        <v>680718</v>
      </c>
      <c r="D19" s="1" t="s">
        <v>75</v>
      </c>
      <c r="E19" s="1" t="s">
        <v>27</v>
      </c>
      <c r="F19" s="1">
        <v>-5</v>
      </c>
      <c r="G19" s="1">
        <v>634</v>
      </c>
      <c r="H19" s="1">
        <v>32.4</v>
      </c>
      <c r="I19" s="1">
        <v>0.24199999999999999</v>
      </c>
      <c r="J19" s="1">
        <v>0.433</v>
      </c>
      <c r="K19" s="1">
        <v>0.30599999999999999</v>
      </c>
      <c r="L19" s="1">
        <v>0.32900000000000001</v>
      </c>
      <c r="M19" s="1">
        <v>46.2</v>
      </c>
      <c r="N19" s="1">
        <v>21.2</v>
      </c>
      <c r="O19" s="1">
        <v>23.6</v>
      </c>
      <c r="P19" s="1">
        <v>75.900000000000006</v>
      </c>
      <c r="Q19" s="1">
        <v>0.63500000000000001</v>
      </c>
      <c r="R19" s="1">
        <v>7.2</v>
      </c>
      <c r="S19" s="1" t="str" cm="1">
        <f t="array" ref="S19">_xlfn.IFS(R19&lt;6.5, "Short_Swing", R19&lt;=7.4, "Average_Swing", R19&gt;=7.5, "Long_Swing")</f>
        <v>Average_Swing</v>
      </c>
      <c r="T19" s="1">
        <v>28.8</v>
      </c>
      <c r="U19" s="1">
        <v>9.1</v>
      </c>
      <c r="V19" s="1" t="str" cm="1">
        <f t="array" ref="V19">_xlfn.IFS(U19&lt;6,"Flat",U19&lt;=14,"Average",U19&gt;14,"Steep")</f>
        <v>Average</v>
      </c>
      <c r="W19" s="1">
        <v>-5</v>
      </c>
      <c r="X19" s="1">
        <v>31.5</v>
      </c>
      <c r="Y19" s="1">
        <v>51</v>
      </c>
    </row>
    <row r="20" spans="1:25" x14ac:dyDescent="0.3">
      <c r="A20" t="s">
        <v>76</v>
      </c>
      <c r="B20" t="s">
        <v>77</v>
      </c>
      <c r="C20" s="1">
        <v>683146</v>
      </c>
      <c r="D20" s="1" t="s">
        <v>44</v>
      </c>
      <c r="E20" s="1" t="s">
        <v>27</v>
      </c>
      <c r="F20" s="1">
        <v>2</v>
      </c>
      <c r="G20" s="1">
        <v>662</v>
      </c>
      <c r="H20" s="1">
        <v>37.799999999999997</v>
      </c>
      <c r="I20" s="1">
        <v>0.26700000000000002</v>
      </c>
      <c r="J20" s="1">
        <v>0.51200000000000001</v>
      </c>
      <c r="K20" s="1">
        <v>0.34200000000000003</v>
      </c>
      <c r="L20" s="1">
        <v>0.371</v>
      </c>
      <c r="M20" s="1">
        <v>57.1</v>
      </c>
      <c r="N20" s="1">
        <v>28.7</v>
      </c>
      <c r="O20" s="1">
        <v>25.7</v>
      </c>
      <c r="P20" s="1">
        <v>75.099999999999994</v>
      </c>
      <c r="Q20" s="1">
        <v>0.53600000000000003</v>
      </c>
      <c r="R20" s="1">
        <v>6.9</v>
      </c>
      <c r="S20" s="1" t="str" cm="1">
        <f t="array" ref="S20">_xlfn.IFS(R20&lt;6.5, "Short_Swing", R20&lt;=7.4, "Average_Swing", R20&gt;=7.5, "Long_Swing")</f>
        <v>Average_Swing</v>
      </c>
      <c r="T20" s="1">
        <v>35.5</v>
      </c>
      <c r="U20" s="1">
        <v>8.4</v>
      </c>
      <c r="V20" s="1" t="str" cm="1">
        <f t="array" ref="V20">_xlfn.IFS(U20&lt;6,"Flat",U20&lt;=14,"Average",U20&gt;14,"Steep")</f>
        <v>Average</v>
      </c>
      <c r="W20" s="1">
        <v>3.7</v>
      </c>
      <c r="X20" s="1">
        <v>26.7</v>
      </c>
      <c r="Y20" s="1">
        <v>47.6</v>
      </c>
    </row>
    <row r="21" spans="1:25" x14ac:dyDescent="0.3">
      <c r="A21" t="s">
        <v>78</v>
      </c>
      <c r="B21" t="s">
        <v>79</v>
      </c>
      <c r="C21" s="1">
        <v>687597</v>
      </c>
      <c r="D21" s="1" t="s">
        <v>80</v>
      </c>
      <c r="E21" s="1" t="s">
        <v>26</v>
      </c>
      <c r="F21" s="1">
        <v>-1</v>
      </c>
      <c r="G21" s="1">
        <v>434</v>
      </c>
      <c r="H21" s="1">
        <v>18.600000000000001</v>
      </c>
      <c r="I21" s="1">
        <v>0.27500000000000002</v>
      </c>
      <c r="J21" s="1">
        <v>0.36799999999999999</v>
      </c>
      <c r="K21" s="1">
        <v>0.376</v>
      </c>
      <c r="L21" s="1">
        <v>0.311</v>
      </c>
      <c r="M21" s="1">
        <v>41.8</v>
      </c>
      <c r="N21" s="1">
        <v>13.7</v>
      </c>
      <c r="O21" s="1">
        <v>15.5</v>
      </c>
      <c r="P21" s="1">
        <v>73.400000000000006</v>
      </c>
      <c r="Q21" s="1">
        <v>0.34100000000000003</v>
      </c>
      <c r="R21" s="1">
        <v>7.3</v>
      </c>
      <c r="S21" s="1" t="str" cm="1">
        <f t="array" ref="S21">_xlfn.IFS(R21&lt;6.5, "Short_Swing", R21&lt;=7.4, "Average_Swing", R21&gt;=7.5, "Long_Swing")</f>
        <v>Average_Swing</v>
      </c>
      <c r="T21" s="1">
        <v>32.700000000000003</v>
      </c>
      <c r="U21" s="1">
        <v>10.7</v>
      </c>
      <c r="V21" s="1" t="str" cm="1">
        <f t="array" ref="V21">_xlfn.IFS(U21&lt;6,"Flat",U21&lt;=14,"Average",U21&gt;14,"Steep")</f>
        <v>Average</v>
      </c>
      <c r="W21" s="1">
        <v>-3.3</v>
      </c>
      <c r="X21" s="1">
        <v>27.6</v>
      </c>
      <c r="Y21" s="1">
        <v>51.8</v>
      </c>
    </row>
    <row r="22" spans="1:25" x14ac:dyDescent="0.3">
      <c r="A22" t="s">
        <v>81</v>
      </c>
      <c r="B22" t="s">
        <v>82</v>
      </c>
      <c r="C22" s="1">
        <v>605137</v>
      </c>
      <c r="D22" s="1" t="s">
        <v>25</v>
      </c>
      <c r="E22" s="1" t="s">
        <v>26</v>
      </c>
      <c r="F22" s="1">
        <v>-4</v>
      </c>
      <c r="G22" s="1">
        <v>272</v>
      </c>
      <c r="H22" s="1">
        <v>12.9</v>
      </c>
      <c r="I22" s="1">
        <v>0.23400000000000001</v>
      </c>
      <c r="J22" s="1">
        <v>0.378</v>
      </c>
      <c r="K22" s="1">
        <v>0.29299999999999998</v>
      </c>
      <c r="L22" s="1">
        <v>0.314</v>
      </c>
      <c r="M22" s="1">
        <v>43.8</v>
      </c>
      <c r="N22" s="1">
        <v>16.8</v>
      </c>
      <c r="O22" s="1">
        <v>13.8</v>
      </c>
      <c r="P22" s="1">
        <v>73.099999999999994</v>
      </c>
      <c r="Q22" s="1">
        <v>0.33800000000000002</v>
      </c>
      <c r="R22" s="1">
        <v>7.5</v>
      </c>
      <c r="S22" s="1" t="str" cm="1">
        <f t="array" ref="S22">_xlfn.IFS(R22&lt;6.5, "Short_Swing", R22&lt;=7.4, "Average_Swing", R22&gt;=7.5, "Long_Swing")</f>
        <v>Long_Swing</v>
      </c>
      <c r="T22" s="1">
        <v>33.700000000000003</v>
      </c>
      <c r="U22" s="1">
        <v>10.1</v>
      </c>
      <c r="V22" s="1" t="str" cm="1">
        <f t="array" ref="V22">_xlfn.IFS(U22&lt;6,"Flat",U22&lt;=14,"Average",U22&gt;14,"Steep")</f>
        <v>Average</v>
      </c>
      <c r="W22" s="1">
        <v>-2.9</v>
      </c>
      <c r="X22" s="1">
        <v>27.6</v>
      </c>
      <c r="Y22" s="1">
        <v>58</v>
      </c>
    </row>
    <row r="23" spans="1:25" x14ac:dyDescent="0.3">
      <c r="A23" t="s">
        <v>83</v>
      </c>
      <c r="B23" t="s">
        <v>84</v>
      </c>
      <c r="C23" s="1">
        <v>641355</v>
      </c>
      <c r="D23" s="1" t="s">
        <v>85</v>
      </c>
      <c r="E23" s="1" t="s">
        <v>26</v>
      </c>
      <c r="F23" s="1">
        <v>3</v>
      </c>
      <c r="G23" s="1">
        <v>370</v>
      </c>
      <c r="H23" s="1">
        <v>14.3</v>
      </c>
      <c r="I23" s="1">
        <v>0.33100000000000002</v>
      </c>
      <c r="J23" s="1">
        <v>0.46700000000000003</v>
      </c>
      <c r="K23" s="1">
        <v>0.40699999999999997</v>
      </c>
      <c r="L23" s="1">
        <v>0.38600000000000001</v>
      </c>
      <c r="M23" s="1">
        <v>41.9</v>
      </c>
      <c r="N23" s="1">
        <v>9.5</v>
      </c>
      <c r="O23" s="1">
        <v>7.5</v>
      </c>
      <c r="P23" s="1">
        <v>69.7</v>
      </c>
      <c r="Q23" s="1">
        <v>5.1999999999999998E-2</v>
      </c>
      <c r="R23" s="1">
        <v>7.3</v>
      </c>
      <c r="S23" s="1" t="str" cm="1">
        <f t="array" ref="S23">_xlfn.IFS(R23&lt;6.5, "Short_Swing", R23&lt;=7.4, "Average_Swing", R23&gt;=7.5, "Long_Swing")</f>
        <v>Average_Swing</v>
      </c>
      <c r="T23" s="1">
        <v>32.4</v>
      </c>
      <c r="U23" s="1">
        <v>12.9</v>
      </c>
      <c r="V23" s="1" t="str" cm="1">
        <f t="array" ref="V23">_xlfn.IFS(U23&lt;6,"Flat",U23&lt;=14,"Average",U23&gt;14,"Steep")</f>
        <v>Average</v>
      </c>
      <c r="W23" s="1">
        <v>-3.1</v>
      </c>
      <c r="X23" s="1">
        <v>30.1</v>
      </c>
      <c r="Y23" s="1">
        <v>59.3</v>
      </c>
    </row>
    <row r="24" spans="1:25" x14ac:dyDescent="0.3">
      <c r="A24" t="s">
        <v>86</v>
      </c>
      <c r="B24" t="s">
        <v>87</v>
      </c>
      <c r="C24" s="1">
        <v>643217</v>
      </c>
      <c r="D24" s="1" t="s">
        <v>88</v>
      </c>
      <c r="E24" s="1" t="s">
        <v>27</v>
      </c>
      <c r="F24" s="1">
        <v>4</v>
      </c>
      <c r="G24" s="1">
        <v>548</v>
      </c>
      <c r="H24" s="1">
        <v>31.8</v>
      </c>
      <c r="I24" s="1">
        <v>0.218</v>
      </c>
      <c r="J24" s="1">
        <v>0.47399999999999998</v>
      </c>
      <c r="K24" s="1">
        <v>0.34399999999999997</v>
      </c>
      <c r="L24" s="1">
        <v>0.33600000000000002</v>
      </c>
      <c r="M24" s="1">
        <v>44.4</v>
      </c>
      <c r="N24" s="1">
        <v>22.5</v>
      </c>
      <c r="O24" s="1">
        <v>17.3</v>
      </c>
      <c r="P24" s="1">
        <v>68.7</v>
      </c>
      <c r="Q24" s="1">
        <v>2.5000000000000001E-2</v>
      </c>
      <c r="R24" s="1">
        <v>6.7</v>
      </c>
      <c r="S24" s="1" t="str" cm="1">
        <f t="array" ref="S24">_xlfn.IFS(R24&lt;6.5, "Short_Swing", R24&lt;=7.4, "Average_Swing", R24&gt;=7.5, "Long_Swing")</f>
        <v>Average_Swing</v>
      </c>
      <c r="T24" s="1">
        <v>32.5</v>
      </c>
      <c r="U24" s="1">
        <v>15.9</v>
      </c>
      <c r="V24" s="1" t="str" cm="1">
        <f t="array" ref="V24">_xlfn.IFS(U24&lt;6,"Flat",U24&lt;=14,"Average",U24&gt;14,"Steep")</f>
        <v>Steep</v>
      </c>
      <c r="W24" s="1">
        <v>-5.0999999999999996</v>
      </c>
      <c r="X24" s="1">
        <v>35.200000000000003</v>
      </c>
      <c r="Y24" s="1">
        <v>54.7</v>
      </c>
    </row>
    <row r="25" spans="1:25" x14ac:dyDescent="0.3">
      <c r="A25" t="s">
        <v>89</v>
      </c>
      <c r="B25" t="s">
        <v>90</v>
      </c>
      <c r="C25" s="1">
        <v>605141</v>
      </c>
      <c r="D25" s="1" t="s">
        <v>91</v>
      </c>
      <c r="E25" s="1" t="s">
        <v>27</v>
      </c>
      <c r="F25" s="1">
        <v>13</v>
      </c>
      <c r="G25" s="1">
        <v>790</v>
      </c>
      <c r="H25" s="1">
        <v>32.1</v>
      </c>
      <c r="I25" s="1">
        <v>0.32500000000000001</v>
      </c>
      <c r="J25" s="1">
        <v>0.53700000000000003</v>
      </c>
      <c r="K25" s="1">
        <v>0.41299999999999998</v>
      </c>
      <c r="L25" s="1">
        <v>0.42</v>
      </c>
      <c r="M25" s="1">
        <v>38.700000000000003</v>
      </c>
      <c r="N25" s="1">
        <v>7.4</v>
      </c>
      <c r="O25" s="1">
        <v>6.2</v>
      </c>
      <c r="P25" s="1">
        <v>68.400000000000006</v>
      </c>
      <c r="Q25" s="1">
        <v>5.8000000000000003E-2</v>
      </c>
      <c r="R25" s="1">
        <v>6.7</v>
      </c>
      <c r="S25" s="1" t="str" cm="1">
        <f t="array" ref="S25">_xlfn.IFS(R25&lt;6.5, "Short_Swing", R25&lt;=7.4, "Average_Swing", R25&gt;=7.5, "Long_Swing")</f>
        <v>Average_Swing</v>
      </c>
      <c r="T25" s="1">
        <v>34.6</v>
      </c>
      <c r="U25" s="1">
        <v>9.1999999999999993</v>
      </c>
      <c r="V25" s="1" t="str" cm="1">
        <f t="array" ref="V25">_xlfn.IFS(U25&lt;6,"Flat",U25&lt;=14,"Average",U25&gt;14,"Steep")</f>
        <v>Average</v>
      </c>
      <c r="W25" s="1">
        <v>-5.5</v>
      </c>
      <c r="X25" s="1">
        <v>33.200000000000003</v>
      </c>
      <c r="Y25" s="1">
        <v>55.7</v>
      </c>
    </row>
    <row r="26" spans="1:25" x14ac:dyDescent="0.3">
      <c r="A26" t="s">
        <v>92</v>
      </c>
      <c r="B26" t="s">
        <v>93</v>
      </c>
      <c r="C26" s="1">
        <v>666182</v>
      </c>
      <c r="D26" s="1" t="s">
        <v>75</v>
      </c>
      <c r="E26" s="1" t="s">
        <v>27</v>
      </c>
      <c r="F26" s="1">
        <v>-1</v>
      </c>
      <c r="G26" s="1">
        <v>706</v>
      </c>
      <c r="H26" s="1">
        <v>30.6</v>
      </c>
      <c r="I26" s="1">
        <v>0.26200000000000001</v>
      </c>
      <c r="J26" s="1">
        <v>0.432</v>
      </c>
      <c r="K26" s="1">
        <v>0.373</v>
      </c>
      <c r="L26" s="1">
        <v>0.36099999999999999</v>
      </c>
      <c r="M26" s="1">
        <v>54.4</v>
      </c>
      <c r="N26" s="1">
        <v>16.399999999999999</v>
      </c>
      <c r="O26" s="1">
        <v>18.8</v>
      </c>
      <c r="P26" s="1">
        <v>67.8</v>
      </c>
      <c r="Q26" s="1">
        <v>5.0999999999999997E-2</v>
      </c>
      <c r="R26" s="1">
        <v>6.6</v>
      </c>
      <c r="S26" s="1" t="str" cm="1">
        <f t="array" ref="S26">_xlfn.IFS(R26&lt;6.5, "Short_Swing", R26&lt;=7.4, "Average_Swing", R26&gt;=7.5, "Long_Swing")</f>
        <v>Average_Swing</v>
      </c>
      <c r="T26" s="1">
        <v>37.5</v>
      </c>
      <c r="U26" s="1">
        <v>4.5</v>
      </c>
      <c r="V26" s="1" t="str" cm="1">
        <f t="array" ref="V26">_xlfn.IFS(U26&lt;6,"Flat",U26&lt;=14,"Average",U26&gt;14,"Steep")</f>
        <v>Flat</v>
      </c>
      <c r="W26" s="1">
        <v>1.3</v>
      </c>
      <c r="X26" s="1">
        <v>24.5</v>
      </c>
      <c r="Y26" s="1">
        <v>33.9</v>
      </c>
    </row>
    <row r="27" spans="1:25" x14ac:dyDescent="0.3">
      <c r="A27" t="s">
        <v>94</v>
      </c>
      <c r="B27" t="s">
        <v>95</v>
      </c>
      <c r="C27" s="1">
        <v>593428</v>
      </c>
      <c r="D27" s="1" t="s">
        <v>62</v>
      </c>
      <c r="E27" s="1" t="s">
        <v>26</v>
      </c>
      <c r="F27" s="1">
        <v>-9</v>
      </c>
      <c r="G27" s="1">
        <v>469</v>
      </c>
      <c r="H27" s="1">
        <v>22.3</v>
      </c>
      <c r="I27" s="1">
        <v>0.27600000000000002</v>
      </c>
      <c r="J27" s="1">
        <v>0.35499999999999998</v>
      </c>
      <c r="K27" s="1">
        <v>0.27800000000000002</v>
      </c>
      <c r="L27" s="1">
        <v>0.307</v>
      </c>
      <c r="M27" s="1">
        <v>35.4</v>
      </c>
      <c r="N27" s="1">
        <v>11</v>
      </c>
      <c r="O27" s="1">
        <v>12.6</v>
      </c>
      <c r="P27" s="1">
        <v>72.3</v>
      </c>
      <c r="Q27" s="1">
        <v>0.26</v>
      </c>
      <c r="R27" s="1">
        <v>7.1</v>
      </c>
      <c r="S27" s="1" t="str" cm="1">
        <f t="array" ref="S27">_xlfn.IFS(R27&lt;6.5, "Short_Swing", R27&lt;=7.4, "Average_Swing", R27&gt;=7.5, "Long_Swing")</f>
        <v>Average_Swing</v>
      </c>
      <c r="T27" s="1">
        <v>31</v>
      </c>
      <c r="U27" s="1">
        <v>10.199999999999999</v>
      </c>
      <c r="V27" s="1" t="str" cm="1">
        <f t="array" ref="V27">_xlfn.IFS(U27&lt;6,"Flat",U27&lt;=14,"Average",U27&gt;14,"Steep")</f>
        <v>Average</v>
      </c>
      <c r="W27" s="1">
        <v>-6.9</v>
      </c>
      <c r="X27" s="1">
        <v>34.799999999999997</v>
      </c>
      <c r="Y27" s="1">
        <v>52.5</v>
      </c>
    </row>
    <row r="28" spans="1:25" x14ac:dyDescent="0.3">
      <c r="A28" t="s">
        <v>96</v>
      </c>
      <c r="B28" t="s">
        <v>97</v>
      </c>
      <c r="C28" s="1">
        <v>664761</v>
      </c>
      <c r="D28" s="1" t="s">
        <v>65</v>
      </c>
      <c r="E28" s="1" t="s">
        <v>26</v>
      </c>
      <c r="F28" s="1">
        <v>-6</v>
      </c>
      <c r="G28" s="1">
        <v>303</v>
      </c>
      <c r="H28" s="1">
        <v>16.8</v>
      </c>
      <c r="I28" s="1">
        <v>0.27300000000000002</v>
      </c>
      <c r="J28" s="1">
        <v>0.44400000000000001</v>
      </c>
      <c r="K28" s="1">
        <v>0.28699999999999998</v>
      </c>
      <c r="L28" s="1">
        <v>0.33300000000000002</v>
      </c>
      <c r="M28" s="1">
        <v>48.8</v>
      </c>
      <c r="N28" s="1">
        <v>5.6</v>
      </c>
      <c r="O28" s="1">
        <v>9.4</v>
      </c>
      <c r="P28" s="1">
        <v>71.2</v>
      </c>
      <c r="Q28" s="1">
        <v>0.13300000000000001</v>
      </c>
      <c r="R28" s="1">
        <v>6.9</v>
      </c>
      <c r="S28" s="1" t="str" cm="1">
        <f t="array" ref="S28">_xlfn.IFS(R28&lt;6.5, "Short_Swing", R28&lt;=7.4, "Average_Swing", R28&gt;=7.5, "Long_Swing")</f>
        <v>Average_Swing</v>
      </c>
      <c r="T28" s="1">
        <v>29.7</v>
      </c>
      <c r="U28" s="1">
        <v>5.4</v>
      </c>
      <c r="V28" s="1" t="str" cm="1">
        <f t="array" ref="V28">_xlfn.IFS(U28&lt;6,"Flat",U28&lt;=14,"Average",U28&gt;14,"Steep")</f>
        <v>Flat</v>
      </c>
      <c r="W28" s="1">
        <v>4.5</v>
      </c>
      <c r="X28" s="1">
        <v>26.6</v>
      </c>
      <c r="Y28" s="1">
        <v>47</v>
      </c>
    </row>
    <row r="29" spans="1:25" x14ac:dyDescent="0.3">
      <c r="A29" t="s">
        <v>98</v>
      </c>
      <c r="B29" t="s">
        <v>99</v>
      </c>
      <c r="C29" s="1">
        <v>608324</v>
      </c>
      <c r="D29" s="1" t="s">
        <v>30</v>
      </c>
      <c r="E29" s="1" t="s">
        <v>27</v>
      </c>
      <c r="F29" s="1">
        <v>6</v>
      </c>
      <c r="G29" s="1">
        <v>554</v>
      </c>
      <c r="H29" s="1">
        <v>28.5</v>
      </c>
      <c r="I29" s="1">
        <v>0.28000000000000003</v>
      </c>
      <c r="J29" s="1">
        <v>0.50800000000000001</v>
      </c>
      <c r="K29" s="1">
        <v>0.373</v>
      </c>
      <c r="L29" s="1">
        <v>0.372</v>
      </c>
      <c r="M29" s="1">
        <v>54.2</v>
      </c>
      <c r="N29" s="1">
        <v>9.3000000000000007</v>
      </c>
      <c r="O29" s="1">
        <v>10.5</v>
      </c>
      <c r="P29" s="1">
        <v>70.7</v>
      </c>
      <c r="Q29" s="1">
        <v>7.1999999999999995E-2</v>
      </c>
      <c r="R29" s="1">
        <v>6.7</v>
      </c>
      <c r="S29" s="1" t="str" cm="1">
        <f t="array" ref="S29">_xlfn.IFS(R29&lt;6.5, "Short_Swing", R29&lt;=7.4, "Average_Swing", R29&gt;=7.5, "Long_Swing")</f>
        <v>Average_Swing</v>
      </c>
      <c r="T29" s="1">
        <v>28.1</v>
      </c>
      <c r="U29" s="1">
        <v>13.5</v>
      </c>
      <c r="V29" s="1" t="str" cm="1">
        <f t="array" ref="V29">_xlfn.IFS(U29&lt;6,"Flat",U29&lt;=14,"Average",U29&gt;14,"Steep")</f>
        <v>Average</v>
      </c>
      <c r="W29" s="1">
        <v>-5.0999999999999996</v>
      </c>
      <c r="X29" s="1">
        <v>31.8</v>
      </c>
      <c r="Y29" s="1">
        <v>65.8</v>
      </c>
    </row>
    <row r="30" spans="1:25" x14ac:dyDescent="0.3">
      <c r="A30" t="s">
        <v>100</v>
      </c>
      <c r="B30" t="s">
        <v>101</v>
      </c>
      <c r="C30" s="1">
        <v>669394</v>
      </c>
      <c r="D30" s="1" t="s">
        <v>102</v>
      </c>
      <c r="E30" s="1" t="s">
        <v>26</v>
      </c>
      <c r="F30" s="1">
        <v>-1</v>
      </c>
      <c r="G30" s="1">
        <v>251</v>
      </c>
      <c r="H30" s="1">
        <v>19</v>
      </c>
      <c r="I30" s="1">
        <v>0.316</v>
      </c>
      <c r="J30" s="1">
        <v>0.54600000000000004</v>
      </c>
      <c r="K30" s="1">
        <v>0.35499999999999998</v>
      </c>
      <c r="L30" s="1">
        <v>0.39400000000000002</v>
      </c>
      <c r="M30" s="1">
        <v>55.9</v>
      </c>
      <c r="N30" s="1">
        <v>10.9</v>
      </c>
      <c r="O30" s="1">
        <v>11.8</v>
      </c>
      <c r="P30" s="1">
        <v>74.5</v>
      </c>
      <c r="Q30" s="1">
        <v>0.49299999999999999</v>
      </c>
      <c r="R30" s="1">
        <v>6.9</v>
      </c>
      <c r="S30" s="1" t="str" cm="1">
        <f t="array" ref="S30">_xlfn.IFS(R30&lt;6.5, "Short_Swing", R30&lt;=7.4, "Average_Swing", R30&gt;=7.5, "Long_Swing")</f>
        <v>Average_Swing</v>
      </c>
      <c r="T30" s="1">
        <v>24.9</v>
      </c>
      <c r="U30" s="1">
        <v>7.6</v>
      </c>
      <c r="V30" s="1" t="str" cm="1">
        <f t="array" ref="V30">_xlfn.IFS(U30&lt;6,"Flat",U30&lt;=14,"Average",U30&gt;14,"Steep")</f>
        <v>Average</v>
      </c>
      <c r="W30" s="1">
        <v>-4.0999999999999996</v>
      </c>
      <c r="X30" s="1">
        <v>31.6</v>
      </c>
      <c r="Y30" s="1">
        <v>53.4</v>
      </c>
    </row>
    <row r="31" spans="1:25" x14ac:dyDescent="0.3">
      <c r="A31" t="s">
        <v>96</v>
      </c>
      <c r="B31" t="s">
        <v>103</v>
      </c>
      <c r="C31" s="1">
        <v>676475</v>
      </c>
      <c r="D31" s="1" t="s">
        <v>53</v>
      </c>
      <c r="E31" s="1" t="s">
        <v>27</v>
      </c>
      <c r="F31" s="1">
        <v>5</v>
      </c>
      <c r="G31" s="1">
        <v>580</v>
      </c>
      <c r="H31" s="1">
        <v>30</v>
      </c>
      <c r="I31" s="1">
        <v>0.28599999999999998</v>
      </c>
      <c r="J31" s="1">
        <v>0.54600000000000004</v>
      </c>
      <c r="K31" s="1">
        <v>0.35899999999999999</v>
      </c>
      <c r="L31" s="1">
        <v>0.38200000000000001</v>
      </c>
      <c r="M31" s="1">
        <v>48.5</v>
      </c>
      <c r="N31" s="1">
        <v>17.100000000000001</v>
      </c>
      <c r="O31" s="1">
        <v>14.4</v>
      </c>
      <c r="P31" s="1">
        <v>72.099999999999994</v>
      </c>
      <c r="Q31" s="1">
        <v>0.255</v>
      </c>
      <c r="R31" s="1">
        <v>7.1</v>
      </c>
      <c r="S31" s="1" t="str" cm="1">
        <f t="array" ref="S31">_xlfn.IFS(R31&lt;6.5, "Short_Swing", R31&lt;=7.4, "Average_Swing", R31&gt;=7.5, "Long_Swing")</f>
        <v>Average_Swing</v>
      </c>
      <c r="T31" s="1">
        <v>31.8</v>
      </c>
      <c r="U31" s="1">
        <v>10</v>
      </c>
      <c r="V31" s="1" t="str" cm="1">
        <f t="array" ref="V31">_xlfn.IFS(U31&lt;6,"Flat",U31&lt;=14,"Average",U31&gt;14,"Steep")</f>
        <v>Average</v>
      </c>
      <c r="W31" s="1">
        <v>0.3</v>
      </c>
      <c r="X31" s="1">
        <v>31.6</v>
      </c>
      <c r="Y31" s="1">
        <v>57.5</v>
      </c>
    </row>
    <row r="32" spans="1:25" x14ac:dyDescent="0.3">
      <c r="A32" t="s">
        <v>104</v>
      </c>
      <c r="B32" t="s">
        <v>105</v>
      </c>
      <c r="C32" s="1">
        <v>683737</v>
      </c>
      <c r="D32" s="1" t="s">
        <v>106</v>
      </c>
      <c r="E32" s="1" t="s">
        <v>27</v>
      </c>
      <c r="F32" s="1">
        <v>14</v>
      </c>
      <c r="G32" s="1">
        <v>731</v>
      </c>
      <c r="H32" s="1">
        <v>31.5</v>
      </c>
      <c r="I32" s="1">
        <v>0.28000000000000003</v>
      </c>
      <c r="J32" s="1">
        <v>0.64700000000000002</v>
      </c>
      <c r="K32" s="1">
        <v>0.40100000000000002</v>
      </c>
      <c r="L32" s="1">
        <v>0.41399999999999998</v>
      </c>
      <c r="M32" s="1">
        <v>57.5</v>
      </c>
      <c r="N32" s="1">
        <v>13.7</v>
      </c>
      <c r="O32" s="1">
        <v>23.8</v>
      </c>
      <c r="P32" s="1">
        <v>68.599999999999994</v>
      </c>
      <c r="Q32" s="1">
        <v>0.05</v>
      </c>
      <c r="R32" s="1">
        <v>6.6</v>
      </c>
      <c r="S32" s="1" t="str" cm="1">
        <f t="array" ref="S32">_xlfn.IFS(R32&lt;6.5, "Short_Swing", R32&lt;=7.4, "Average_Swing", R32&gt;=7.5, "Long_Swing")</f>
        <v>Average_Swing</v>
      </c>
      <c r="T32" s="1">
        <v>36.799999999999997</v>
      </c>
      <c r="U32" s="1">
        <v>16.3</v>
      </c>
      <c r="V32" s="1" t="str" cm="1">
        <f t="array" ref="V32">_xlfn.IFS(U32&lt;6,"Flat",U32&lt;=14,"Average",U32&gt;14,"Steep")</f>
        <v>Steep</v>
      </c>
      <c r="W32" s="1">
        <v>-1.1000000000000001</v>
      </c>
      <c r="X32" s="1">
        <v>32.5</v>
      </c>
      <c r="Y32" s="1">
        <v>50.4</v>
      </c>
    </row>
    <row r="33" spans="1:25" x14ac:dyDescent="0.3">
      <c r="A33" t="s">
        <v>107</v>
      </c>
      <c r="B33" t="s">
        <v>108</v>
      </c>
      <c r="C33" s="1">
        <v>671732</v>
      </c>
      <c r="D33" s="1" t="s">
        <v>109</v>
      </c>
      <c r="E33" s="1" t="s">
        <v>26</v>
      </c>
      <c r="F33" s="1">
        <v>4</v>
      </c>
      <c r="G33" s="1">
        <v>315</v>
      </c>
      <c r="H33" s="1">
        <v>12.5</v>
      </c>
      <c r="I33" s="1">
        <v>0.25900000000000001</v>
      </c>
      <c r="J33" s="1">
        <v>0.42299999999999999</v>
      </c>
      <c r="K33" s="1">
        <v>0.40200000000000002</v>
      </c>
      <c r="L33" s="1">
        <v>0.318</v>
      </c>
      <c r="M33" s="1">
        <v>50</v>
      </c>
      <c r="N33" s="1">
        <v>18.5</v>
      </c>
      <c r="O33" s="1">
        <v>23.1</v>
      </c>
      <c r="P33" s="1">
        <v>72.8</v>
      </c>
      <c r="Q33" s="1">
        <v>0.28199999999999997</v>
      </c>
      <c r="R33" s="1">
        <v>6.6</v>
      </c>
      <c r="S33" s="1" t="str" cm="1">
        <f t="array" ref="S33">_xlfn.IFS(R33&lt;6.5, "Short_Swing", R33&lt;=7.4, "Average_Swing", R33&gt;=7.5, "Long_Swing")</f>
        <v>Average_Swing</v>
      </c>
      <c r="T33" s="1">
        <v>30.5</v>
      </c>
      <c r="U33" s="1">
        <v>6.8</v>
      </c>
      <c r="V33" s="1" t="str" cm="1">
        <f t="array" ref="V33">_xlfn.IFS(U33&lt;6,"Flat",U33&lt;=14,"Average",U33&gt;14,"Steep")</f>
        <v>Average</v>
      </c>
      <c r="W33" s="1">
        <v>1.7</v>
      </c>
      <c r="X33" s="1">
        <v>28.8</v>
      </c>
      <c r="Y33" s="1">
        <v>44.1</v>
      </c>
    </row>
    <row r="34" spans="1:25" x14ac:dyDescent="0.3">
      <c r="A34" t="s">
        <v>110</v>
      </c>
      <c r="B34" t="s">
        <v>111</v>
      </c>
      <c r="C34" s="1">
        <v>621439</v>
      </c>
      <c r="D34" s="1" t="s">
        <v>112</v>
      </c>
      <c r="E34" s="1" t="s">
        <v>26</v>
      </c>
      <c r="F34" s="1">
        <v>4</v>
      </c>
      <c r="G34" s="1">
        <v>386</v>
      </c>
      <c r="H34" s="1">
        <v>19</v>
      </c>
      <c r="I34" s="1">
        <v>0.254</v>
      </c>
      <c r="J34" s="1">
        <v>0.439</v>
      </c>
      <c r="K34" s="1">
        <v>0.41599999999999998</v>
      </c>
      <c r="L34" s="1">
        <v>0.33600000000000002</v>
      </c>
      <c r="M34" s="1">
        <v>46.3</v>
      </c>
      <c r="N34" s="1">
        <v>18.8</v>
      </c>
      <c r="O34" s="1">
        <v>12.3</v>
      </c>
      <c r="P34" s="1">
        <v>75.5</v>
      </c>
      <c r="Q34" s="1">
        <v>0.56799999999999995</v>
      </c>
      <c r="R34" s="1">
        <v>7.6</v>
      </c>
      <c r="S34" s="1" t="str" cm="1">
        <f t="array" ref="S34">_xlfn.IFS(R34&lt;6.5, "Short_Swing", R34&lt;=7.4, "Average_Swing", R34&gt;=7.5, "Long_Swing")</f>
        <v>Long_Swing</v>
      </c>
      <c r="T34" s="1">
        <v>34</v>
      </c>
      <c r="U34" s="1">
        <v>14.1</v>
      </c>
      <c r="V34" s="1" t="str" cm="1">
        <f t="array" ref="V34">_xlfn.IFS(U34&lt;6,"Flat",U34&lt;=14,"Average",U34&gt;14,"Steep")</f>
        <v>Steep</v>
      </c>
      <c r="W34" s="1">
        <v>-6.2</v>
      </c>
      <c r="X34" s="1">
        <v>28.2</v>
      </c>
      <c r="Y34" s="1">
        <v>57.9</v>
      </c>
    </row>
    <row r="35" spans="1:25" x14ac:dyDescent="0.3">
      <c r="A35" t="s">
        <v>113</v>
      </c>
      <c r="B35" t="s">
        <v>114</v>
      </c>
      <c r="C35" s="1">
        <v>691406</v>
      </c>
      <c r="D35" s="1" t="s">
        <v>50</v>
      </c>
      <c r="E35" s="1" t="s">
        <v>26</v>
      </c>
      <c r="F35" s="1">
        <v>2</v>
      </c>
      <c r="G35" s="1">
        <v>559</v>
      </c>
      <c r="H35" s="1">
        <v>22.4</v>
      </c>
      <c r="I35" s="1">
        <v>0.27</v>
      </c>
      <c r="J35" s="1">
        <v>0.48</v>
      </c>
      <c r="K35" s="1">
        <v>0.39100000000000001</v>
      </c>
      <c r="L35" s="1">
        <v>0.34799999999999998</v>
      </c>
      <c r="M35" s="1">
        <v>58.8</v>
      </c>
      <c r="N35" s="1">
        <v>13.8</v>
      </c>
      <c r="O35" s="1">
        <v>13.8</v>
      </c>
      <c r="P35" s="1">
        <v>78.900000000000006</v>
      </c>
      <c r="Q35" s="1">
        <v>0.85699999999999998</v>
      </c>
      <c r="R35" s="1">
        <v>8.1</v>
      </c>
      <c r="S35" s="1" t="str" cm="1">
        <f t="array" ref="S35">_xlfn.IFS(R35&lt;6.5, "Short_Swing", R35&lt;=7.4, "Average_Swing", R35&gt;=7.5, "Long_Swing")</f>
        <v>Long_Swing</v>
      </c>
      <c r="T35" s="1">
        <v>26.2</v>
      </c>
      <c r="U35" s="1">
        <v>8</v>
      </c>
      <c r="V35" s="1" t="str" cm="1">
        <f t="array" ref="V35">_xlfn.IFS(U35&lt;6,"Flat",U35&lt;=14,"Average",U35&gt;14,"Steep")</f>
        <v>Average</v>
      </c>
      <c r="W35" s="1">
        <v>-5.3</v>
      </c>
      <c r="X35" s="1">
        <v>35.9</v>
      </c>
      <c r="Y35" s="1">
        <v>59.4</v>
      </c>
    </row>
    <row r="36" spans="1:25" x14ac:dyDescent="0.3">
      <c r="A36" t="s">
        <v>115</v>
      </c>
      <c r="B36" t="s">
        <v>116</v>
      </c>
      <c r="C36" s="1">
        <v>681481</v>
      </c>
      <c r="D36" s="1" t="s">
        <v>68</v>
      </c>
      <c r="E36" s="1" t="s">
        <v>27</v>
      </c>
      <c r="F36" s="1">
        <v>3</v>
      </c>
      <c r="G36" s="1">
        <v>516</v>
      </c>
      <c r="H36" s="1">
        <v>29.7</v>
      </c>
      <c r="I36" s="1">
        <v>0.27300000000000002</v>
      </c>
      <c r="J36" s="1">
        <v>0.59499999999999997</v>
      </c>
      <c r="K36" s="1">
        <v>0.34799999999999998</v>
      </c>
      <c r="L36" s="1">
        <v>0.38200000000000001</v>
      </c>
      <c r="M36" s="1">
        <v>59.8</v>
      </c>
      <c r="N36" s="1">
        <v>21.6</v>
      </c>
      <c r="O36" s="1">
        <v>18.8</v>
      </c>
      <c r="P36" s="1">
        <v>71.7</v>
      </c>
      <c r="Q36" s="1">
        <v>0.151</v>
      </c>
      <c r="R36" s="1">
        <v>6.9</v>
      </c>
      <c r="S36" s="1" t="str" cm="1">
        <f t="array" ref="S36">_xlfn.IFS(R36&lt;6.5, "Short_Swing", R36&lt;=7.4, "Average_Swing", R36&gt;=7.5, "Long_Swing")</f>
        <v>Average_Swing</v>
      </c>
      <c r="T36" s="1">
        <v>34.799999999999997</v>
      </c>
      <c r="U36" s="1">
        <v>17</v>
      </c>
      <c r="V36" s="1" t="str" cm="1">
        <f t="array" ref="V36">_xlfn.IFS(U36&lt;6,"Flat",U36&lt;=14,"Average",U36&gt;14,"Steep")</f>
        <v>Steep</v>
      </c>
      <c r="W36" s="1">
        <v>-0.4</v>
      </c>
      <c r="X36" s="1">
        <v>25.7</v>
      </c>
      <c r="Y36" s="1">
        <v>48.8</v>
      </c>
    </row>
    <row r="37" spans="1:25" x14ac:dyDescent="0.3">
      <c r="A37" t="s">
        <v>117</v>
      </c>
      <c r="B37" t="s">
        <v>118</v>
      </c>
      <c r="C37" s="1">
        <v>682998</v>
      </c>
      <c r="D37" s="1" t="s">
        <v>119</v>
      </c>
      <c r="E37" s="1" t="s">
        <v>27</v>
      </c>
      <c r="F37" s="1">
        <v>18</v>
      </c>
      <c r="G37" s="1">
        <v>736</v>
      </c>
      <c r="H37" s="1">
        <v>29.5</v>
      </c>
      <c r="I37" s="1">
        <v>0.28299999999999997</v>
      </c>
      <c r="J37" s="1">
        <v>0.61299999999999999</v>
      </c>
      <c r="K37" s="1">
        <v>0.44800000000000001</v>
      </c>
      <c r="L37" s="1">
        <v>0.41099999999999998</v>
      </c>
      <c r="M37" s="1">
        <v>58.6</v>
      </c>
      <c r="N37" s="1">
        <v>26.6</v>
      </c>
      <c r="O37" s="1">
        <v>25.4</v>
      </c>
      <c r="P37" s="1">
        <v>74.400000000000006</v>
      </c>
      <c r="Q37" s="1">
        <v>0.42299999999999999</v>
      </c>
      <c r="R37" s="1">
        <v>6.8</v>
      </c>
      <c r="S37" s="1" t="str" cm="1">
        <f t="array" ref="S37">_xlfn.IFS(R37&lt;6.5, "Short_Swing", R37&lt;=7.4, "Average_Swing", R37&gt;=7.5, "Long_Swing")</f>
        <v>Average_Swing</v>
      </c>
      <c r="T37" s="1">
        <v>25.7</v>
      </c>
      <c r="U37" s="1">
        <v>11</v>
      </c>
      <c r="V37" s="1" t="str" cm="1">
        <f t="array" ref="V37">_xlfn.IFS(U37&lt;6,"Flat",U37&lt;=14,"Average",U37&gt;14,"Steep")</f>
        <v>Average</v>
      </c>
      <c r="W37" s="1">
        <v>-3.3</v>
      </c>
      <c r="X37" s="1">
        <v>36.6</v>
      </c>
      <c r="Y37" s="1">
        <v>68.400000000000006</v>
      </c>
    </row>
    <row r="38" spans="1:25" x14ac:dyDescent="0.3">
      <c r="A38" t="s">
        <v>120</v>
      </c>
      <c r="B38" t="s">
        <v>121</v>
      </c>
      <c r="C38" s="1">
        <v>592206</v>
      </c>
      <c r="D38" s="1" t="s">
        <v>65</v>
      </c>
      <c r="E38" s="1" t="s">
        <v>26</v>
      </c>
      <c r="F38" s="1">
        <v>1</v>
      </c>
      <c r="G38" s="1">
        <v>269</v>
      </c>
      <c r="H38" s="1">
        <v>12.4</v>
      </c>
      <c r="I38" s="1">
        <v>0.33300000000000002</v>
      </c>
      <c r="J38" s="1">
        <v>0.498</v>
      </c>
      <c r="K38" s="1">
        <v>0.37</v>
      </c>
      <c r="L38" s="1">
        <v>0.376</v>
      </c>
      <c r="M38" s="1">
        <v>34.700000000000003</v>
      </c>
      <c r="N38" s="1">
        <v>10.5</v>
      </c>
      <c r="O38" s="1">
        <v>9.1</v>
      </c>
      <c r="P38" s="1">
        <v>70.400000000000006</v>
      </c>
      <c r="Q38" s="1">
        <v>0.16200000000000001</v>
      </c>
      <c r="R38" s="1">
        <v>7</v>
      </c>
      <c r="S38" s="1" t="str" cm="1">
        <f t="array" ref="S38">_xlfn.IFS(R38&lt;6.5, "Short_Swing", R38&lt;=7.4, "Average_Swing", R38&gt;=7.5, "Long_Swing")</f>
        <v>Average_Swing</v>
      </c>
      <c r="T38" s="1">
        <v>40</v>
      </c>
      <c r="U38" s="1">
        <v>15.1</v>
      </c>
      <c r="V38" s="1" t="str" cm="1">
        <f t="array" ref="V38">_xlfn.IFS(U38&lt;6,"Flat",U38&lt;=14,"Average",U38&gt;14,"Steep")</f>
        <v>Steep</v>
      </c>
      <c r="W38" s="1">
        <v>-4.5</v>
      </c>
      <c r="X38" s="1">
        <v>30.8</v>
      </c>
      <c r="Y38" s="1">
        <v>47</v>
      </c>
    </row>
    <row r="39" spans="1:25" x14ac:dyDescent="0.3">
      <c r="A39" t="s">
        <v>122</v>
      </c>
      <c r="B39" t="s">
        <v>123</v>
      </c>
      <c r="C39" s="1">
        <v>650489</v>
      </c>
      <c r="D39" s="1" t="s">
        <v>106</v>
      </c>
      <c r="E39" s="1" t="s">
        <v>27</v>
      </c>
      <c r="F39" s="1">
        <v>3</v>
      </c>
      <c r="G39" s="1">
        <v>770</v>
      </c>
      <c r="H39" s="1">
        <v>44.4</v>
      </c>
      <c r="I39" s="1">
        <v>0.20399999999999999</v>
      </c>
      <c r="J39" s="1">
        <v>0.37</v>
      </c>
      <c r="K39" s="1">
        <v>0.307</v>
      </c>
      <c r="L39" s="1">
        <v>0.32100000000000001</v>
      </c>
      <c r="M39" s="1">
        <v>40</v>
      </c>
      <c r="N39" s="1">
        <v>24.2</v>
      </c>
      <c r="O39" s="1">
        <v>28.5</v>
      </c>
      <c r="P39" s="1">
        <v>71.3</v>
      </c>
      <c r="Q39" s="1">
        <v>0.185</v>
      </c>
      <c r="R39" s="1">
        <v>6.8</v>
      </c>
      <c r="S39" s="1" t="str" cm="1">
        <f t="array" ref="S39">_xlfn.IFS(R39&lt;6.5, "Short_Swing", R39&lt;=7.4, "Average_Swing", R39&gt;=7.5, "Long_Swing")</f>
        <v>Average_Swing</v>
      </c>
      <c r="T39" s="1">
        <v>37.299999999999997</v>
      </c>
      <c r="U39" s="1">
        <v>7.7</v>
      </c>
      <c r="V39" s="1" t="str" cm="1">
        <f t="array" ref="V39">_xlfn.IFS(U39&lt;6,"Flat",U39&lt;=14,"Average",U39&gt;14,"Steep")</f>
        <v>Average</v>
      </c>
      <c r="W39" s="1">
        <v>-3.5</v>
      </c>
      <c r="X39" s="1">
        <v>30.1</v>
      </c>
      <c r="Y39" s="1">
        <v>43.7</v>
      </c>
    </row>
    <row r="40" spans="1:25" x14ac:dyDescent="0.3">
      <c r="A40" t="s">
        <v>124</v>
      </c>
      <c r="B40" t="s">
        <v>125</v>
      </c>
      <c r="C40" s="1">
        <v>656305</v>
      </c>
      <c r="D40" s="1" t="s">
        <v>36</v>
      </c>
      <c r="E40" s="1" t="s">
        <v>27</v>
      </c>
      <c r="F40" s="1">
        <v>5</v>
      </c>
      <c r="G40" s="1">
        <v>818</v>
      </c>
      <c r="H40" s="1">
        <v>37</v>
      </c>
      <c r="I40" s="1">
        <v>0.25</v>
      </c>
      <c r="J40" s="1">
        <v>0.42799999999999999</v>
      </c>
      <c r="K40" s="1">
        <v>0.38</v>
      </c>
      <c r="L40" s="1">
        <v>0.36699999999999999</v>
      </c>
      <c r="M40" s="1">
        <v>42.6</v>
      </c>
      <c r="N40" s="1">
        <v>24.8</v>
      </c>
      <c r="O40" s="1">
        <v>22.4</v>
      </c>
      <c r="P40" s="1">
        <v>74.7</v>
      </c>
      <c r="Q40" s="1">
        <v>0.47599999999999998</v>
      </c>
      <c r="R40" s="1">
        <v>7.1</v>
      </c>
      <c r="S40" s="1" t="str" cm="1">
        <f t="array" ref="S40">_xlfn.IFS(R40&lt;6.5, "Short_Swing", R40&lt;=7.4, "Average_Swing", R40&gt;=7.5, "Long_Swing")</f>
        <v>Average_Swing</v>
      </c>
      <c r="T40" s="1">
        <v>25.4</v>
      </c>
      <c r="U40" s="1">
        <v>5.6</v>
      </c>
      <c r="V40" s="1" t="str" cm="1">
        <f t="array" ref="V40">_xlfn.IFS(U40&lt;6,"Flat",U40&lt;=14,"Average",U40&gt;14,"Steep")</f>
        <v>Flat</v>
      </c>
      <c r="W40" s="1">
        <v>-3.8</v>
      </c>
      <c r="X40" s="1">
        <v>27.4</v>
      </c>
      <c r="Y40" s="1">
        <v>53.3</v>
      </c>
    </row>
    <row r="41" spans="1:25" x14ac:dyDescent="0.3">
      <c r="A41" t="s">
        <v>126</v>
      </c>
      <c r="B41" t="s">
        <v>127</v>
      </c>
      <c r="C41" s="1">
        <v>665862</v>
      </c>
      <c r="D41" s="1" t="s">
        <v>85</v>
      </c>
      <c r="E41" s="1" t="s">
        <v>26</v>
      </c>
      <c r="F41" s="1">
        <v>2</v>
      </c>
      <c r="G41" s="1">
        <v>288</v>
      </c>
      <c r="H41" s="1">
        <v>13.5</v>
      </c>
      <c r="I41" s="1">
        <v>0.27500000000000002</v>
      </c>
      <c r="J41" s="1">
        <v>0.53700000000000003</v>
      </c>
      <c r="K41" s="1">
        <v>0.40300000000000002</v>
      </c>
      <c r="L41" s="1">
        <v>0.371</v>
      </c>
      <c r="M41" s="1">
        <v>43.6</v>
      </c>
      <c r="N41" s="1">
        <v>15.7</v>
      </c>
      <c r="O41" s="1">
        <v>22.5</v>
      </c>
      <c r="P41" s="1">
        <v>74.3</v>
      </c>
      <c r="Q41" s="1">
        <v>0.44600000000000001</v>
      </c>
      <c r="R41" s="1">
        <v>7.5</v>
      </c>
      <c r="S41" s="1" t="str" cm="1">
        <f t="array" ref="S41">_xlfn.IFS(R41&lt;6.5, "Short_Swing", R41&lt;=7.4, "Average_Swing", R41&gt;=7.5, "Long_Swing")</f>
        <v>Long_Swing</v>
      </c>
      <c r="T41" s="1">
        <v>32.9</v>
      </c>
      <c r="U41" s="1">
        <v>15.8</v>
      </c>
      <c r="V41" s="1" t="str" cm="1">
        <f t="array" ref="V41">_xlfn.IFS(U41&lt;6,"Flat",U41&lt;=14,"Average",U41&gt;14,"Steep")</f>
        <v>Steep</v>
      </c>
      <c r="W41" s="1">
        <v>-6</v>
      </c>
      <c r="X41" s="1">
        <v>31.6</v>
      </c>
      <c r="Y41" s="1">
        <v>56.8</v>
      </c>
    </row>
    <row r="42" spans="1:25" x14ac:dyDescent="0.3">
      <c r="A42" t="s">
        <v>128</v>
      </c>
      <c r="B42" t="s">
        <v>129</v>
      </c>
      <c r="C42" s="1">
        <v>694192</v>
      </c>
      <c r="D42" s="1" t="s">
        <v>130</v>
      </c>
      <c r="E42" s="1" t="s">
        <v>26</v>
      </c>
      <c r="F42" s="1">
        <v>-6</v>
      </c>
      <c r="G42" s="1">
        <v>387</v>
      </c>
      <c r="H42" s="1">
        <v>18.399999999999999</v>
      </c>
      <c r="I42" s="1">
        <v>0.29799999999999999</v>
      </c>
      <c r="J42" s="1">
        <v>0.48599999999999999</v>
      </c>
      <c r="K42" s="1">
        <v>0.307</v>
      </c>
      <c r="L42" s="1">
        <v>0.35099999999999998</v>
      </c>
      <c r="M42" s="1">
        <v>51.1</v>
      </c>
      <c r="N42" s="1">
        <v>15.5</v>
      </c>
      <c r="O42" s="1">
        <v>9.1</v>
      </c>
      <c r="P42" s="1">
        <v>74.400000000000006</v>
      </c>
      <c r="Q42" s="1">
        <v>0.437</v>
      </c>
      <c r="R42" s="1">
        <v>7.2</v>
      </c>
      <c r="S42" s="1" t="str" cm="1">
        <f t="array" ref="S42">_xlfn.IFS(R42&lt;6.5, "Short_Swing", R42&lt;=7.4, "Average_Swing", R42&gt;=7.5, "Long_Swing")</f>
        <v>Average_Swing</v>
      </c>
      <c r="T42" s="1">
        <v>26.4</v>
      </c>
      <c r="U42" s="1">
        <v>7.1</v>
      </c>
      <c r="V42" s="1" t="str" cm="1">
        <f t="array" ref="V42">_xlfn.IFS(U42&lt;6,"Flat",U42&lt;=14,"Average",U42&gt;14,"Steep")</f>
        <v>Average</v>
      </c>
      <c r="W42" s="1">
        <v>1.4</v>
      </c>
      <c r="X42" s="1">
        <v>28</v>
      </c>
      <c r="Y42" s="1">
        <v>57.7</v>
      </c>
    </row>
    <row r="43" spans="1:25" x14ac:dyDescent="0.3">
      <c r="A43" t="s">
        <v>131</v>
      </c>
      <c r="B43" t="s">
        <v>132</v>
      </c>
      <c r="C43" s="1">
        <v>665019</v>
      </c>
      <c r="D43" s="1" t="s">
        <v>112</v>
      </c>
      <c r="E43" s="1" t="s">
        <v>27</v>
      </c>
      <c r="F43" s="1">
        <v>-16</v>
      </c>
      <c r="G43" s="1">
        <v>627</v>
      </c>
      <c r="H43" s="1">
        <v>41</v>
      </c>
      <c r="I43" s="1">
        <v>0.20599999999999999</v>
      </c>
      <c r="J43" s="1">
        <v>0.41299999999999998</v>
      </c>
      <c r="K43" s="1">
        <v>0.23499999999999999</v>
      </c>
      <c r="L43" s="1">
        <v>0.29799999999999999</v>
      </c>
      <c r="M43" s="1">
        <v>50</v>
      </c>
      <c r="N43" s="1">
        <v>24.3</v>
      </c>
      <c r="O43" s="1">
        <v>28</v>
      </c>
      <c r="P43" s="1">
        <v>72</v>
      </c>
      <c r="Q43" s="1">
        <v>0.17199999999999999</v>
      </c>
      <c r="R43" s="1">
        <v>7</v>
      </c>
      <c r="S43" s="1" t="str" cm="1">
        <f t="array" ref="S43">_xlfn.IFS(R43&lt;6.5, "Short_Swing", R43&lt;=7.4, "Average_Swing", R43&gt;=7.5, "Long_Swing")</f>
        <v>Average_Swing</v>
      </c>
      <c r="T43" s="1">
        <v>27</v>
      </c>
      <c r="U43" s="1">
        <v>12.3</v>
      </c>
      <c r="V43" s="1" t="str" cm="1">
        <f t="array" ref="V43">_xlfn.IFS(U43&lt;6,"Flat",U43&lt;=14,"Average",U43&gt;14,"Steep")</f>
        <v>Average</v>
      </c>
      <c r="W43" s="1">
        <v>-2.9</v>
      </c>
      <c r="X43" s="1">
        <v>33.4</v>
      </c>
      <c r="Y43" s="1">
        <v>66.099999999999994</v>
      </c>
    </row>
    <row r="44" spans="1:25" x14ac:dyDescent="0.3">
      <c r="A44" t="s">
        <v>133</v>
      </c>
      <c r="B44" t="s">
        <v>134</v>
      </c>
      <c r="C44" s="1">
        <v>676391</v>
      </c>
      <c r="D44" s="1" t="s">
        <v>75</v>
      </c>
      <c r="E44" s="1" t="s">
        <v>26</v>
      </c>
      <c r="F44" s="1">
        <v>1</v>
      </c>
      <c r="G44" s="1">
        <v>300</v>
      </c>
      <c r="H44" s="1">
        <v>16</v>
      </c>
      <c r="I44" s="1">
        <v>0.29599999999999999</v>
      </c>
      <c r="J44" s="1">
        <v>0.374</v>
      </c>
      <c r="K44" s="1">
        <v>0.35599999999999998</v>
      </c>
      <c r="L44" s="1">
        <v>0.32900000000000001</v>
      </c>
      <c r="M44" s="1">
        <v>27.8</v>
      </c>
      <c r="N44" s="1">
        <v>2.8</v>
      </c>
      <c r="O44" s="1">
        <v>2.9</v>
      </c>
      <c r="P44" s="1">
        <v>68.3</v>
      </c>
      <c r="Q44" s="1">
        <v>0.04</v>
      </c>
      <c r="R44" s="1">
        <v>6.7</v>
      </c>
      <c r="S44" s="1" t="str" cm="1">
        <f t="array" ref="S44">_xlfn.IFS(R44&lt;6.5, "Short_Swing", R44&lt;=7.4, "Average_Swing", R44&gt;=7.5, "Long_Swing")</f>
        <v>Average_Swing</v>
      </c>
      <c r="T44" s="1">
        <v>32.200000000000003</v>
      </c>
      <c r="U44" s="1">
        <v>11.6</v>
      </c>
      <c r="V44" s="1" t="str" cm="1">
        <f t="array" ref="V44">_xlfn.IFS(U44&lt;6,"Flat",U44&lt;=14,"Average",U44&gt;14,"Steep")</f>
        <v>Average</v>
      </c>
      <c r="W44" s="1">
        <v>-3.1</v>
      </c>
      <c r="X44" s="1">
        <v>31.1</v>
      </c>
      <c r="Y44" s="1">
        <v>59.3</v>
      </c>
    </row>
    <row r="45" spans="1:25" x14ac:dyDescent="0.3">
      <c r="A45" t="s">
        <v>135</v>
      </c>
      <c r="B45" t="s">
        <v>136</v>
      </c>
      <c r="C45" s="1">
        <v>686555</v>
      </c>
      <c r="D45" s="1" t="s">
        <v>130</v>
      </c>
      <c r="E45" s="1" t="s">
        <v>27</v>
      </c>
      <c r="F45" s="1">
        <v>-2</v>
      </c>
      <c r="G45" s="1">
        <v>785</v>
      </c>
      <c r="H45" s="1">
        <v>43.8</v>
      </c>
      <c r="I45" s="1">
        <v>0.23300000000000001</v>
      </c>
      <c r="J45" s="1">
        <v>0.32200000000000001</v>
      </c>
      <c r="K45" s="1">
        <v>0.33500000000000002</v>
      </c>
      <c r="L45" s="1">
        <v>0.31900000000000001</v>
      </c>
      <c r="M45" s="1">
        <v>35.700000000000003</v>
      </c>
      <c r="N45" s="1">
        <v>21.6</v>
      </c>
      <c r="O45" s="1">
        <v>18.5</v>
      </c>
      <c r="P45" s="1">
        <v>72.2</v>
      </c>
      <c r="Q45" s="1">
        <v>0.186</v>
      </c>
      <c r="R45" s="1">
        <v>6.4</v>
      </c>
      <c r="S45" s="1" t="str" cm="1">
        <f t="array" ref="S45">_xlfn.IFS(R45&lt;6.5, "Short_Swing", R45&lt;=7.4, "Average_Swing", R45&gt;=7.5, "Long_Swing")</f>
        <v>Short_Swing</v>
      </c>
      <c r="T45" s="1">
        <v>28.8</v>
      </c>
      <c r="U45" s="1">
        <v>4</v>
      </c>
      <c r="V45" s="1" t="str" cm="1">
        <f t="array" ref="V45">_xlfn.IFS(U45&lt;6,"Flat",U45&lt;=14,"Average",U45&gt;14,"Steep")</f>
        <v>Flat</v>
      </c>
      <c r="W45" s="1">
        <v>-2.2000000000000002</v>
      </c>
      <c r="X45" s="1">
        <v>32.200000000000003</v>
      </c>
      <c r="Y45" s="1">
        <v>37.200000000000003</v>
      </c>
    </row>
    <row r="46" spans="1:25" x14ac:dyDescent="0.3">
      <c r="A46" t="s">
        <v>104</v>
      </c>
      <c r="B46" t="s">
        <v>137</v>
      </c>
      <c r="C46" s="1">
        <v>624424</v>
      </c>
      <c r="D46" s="1" t="s">
        <v>91</v>
      </c>
      <c r="E46" s="1" t="s">
        <v>26</v>
      </c>
      <c r="F46" s="1">
        <v>-7</v>
      </c>
      <c r="G46" s="1">
        <v>288</v>
      </c>
      <c r="H46" s="1">
        <v>14.1</v>
      </c>
      <c r="I46" s="1">
        <v>0.26200000000000001</v>
      </c>
      <c r="J46" s="1">
        <v>0.373</v>
      </c>
      <c r="K46" s="1">
        <v>0.27</v>
      </c>
      <c r="L46" s="1">
        <v>0.35699999999999998</v>
      </c>
      <c r="M46" s="1">
        <v>41.3</v>
      </c>
      <c r="N46" s="1">
        <v>16.5</v>
      </c>
      <c r="O46" s="1">
        <v>21.1</v>
      </c>
      <c r="P46" s="1">
        <v>73.3</v>
      </c>
      <c r="Q46" s="1">
        <v>0.36499999999999999</v>
      </c>
      <c r="R46" s="1">
        <v>6.9</v>
      </c>
      <c r="S46" s="1" t="str" cm="1">
        <f t="array" ref="S46">_xlfn.IFS(R46&lt;6.5, "Short_Swing", R46&lt;=7.4, "Average_Swing", R46&gt;=7.5, "Long_Swing")</f>
        <v>Average_Swing</v>
      </c>
      <c r="T46" s="1">
        <v>32</v>
      </c>
      <c r="U46" s="1">
        <v>10.199999999999999</v>
      </c>
      <c r="V46" s="1" t="str" cm="1">
        <f t="array" ref="V46">_xlfn.IFS(U46&lt;6,"Flat",U46&lt;=14,"Average",U46&gt;14,"Steep")</f>
        <v>Average</v>
      </c>
      <c r="W46" s="1">
        <v>1.1000000000000001</v>
      </c>
      <c r="X46" s="1">
        <v>27.7</v>
      </c>
      <c r="Y46" s="1">
        <v>47.8</v>
      </c>
    </row>
    <row r="47" spans="1:25" x14ac:dyDescent="0.3">
      <c r="A47" t="s">
        <v>138</v>
      </c>
      <c r="B47" t="s">
        <v>139</v>
      </c>
      <c r="C47" s="1">
        <v>575929</v>
      </c>
      <c r="D47" s="1" t="s">
        <v>53</v>
      </c>
      <c r="E47" s="1" t="s">
        <v>27</v>
      </c>
      <c r="F47" s="1">
        <v>10</v>
      </c>
      <c r="G47" s="1">
        <v>672</v>
      </c>
      <c r="H47" s="1">
        <v>31.1</v>
      </c>
      <c r="I47" s="1">
        <v>0.28100000000000003</v>
      </c>
      <c r="J47" s="1">
        <v>0.60099999999999998</v>
      </c>
      <c r="K47" s="1">
        <v>0.39700000000000002</v>
      </c>
      <c r="L47" s="1">
        <v>0.42899999999999999</v>
      </c>
      <c r="M47" s="1">
        <v>60.7</v>
      </c>
      <c r="N47" s="1">
        <v>25.6</v>
      </c>
      <c r="O47" s="1">
        <v>29.1</v>
      </c>
      <c r="P47" s="1">
        <v>75.900000000000006</v>
      </c>
      <c r="Q47" s="1">
        <v>0.62</v>
      </c>
      <c r="R47" s="1">
        <v>7.6</v>
      </c>
      <c r="S47" s="1" t="str" cm="1">
        <f t="array" ref="S47">_xlfn.IFS(R47&lt;6.5, "Short_Swing", R47&lt;=7.4, "Average_Swing", R47&gt;=7.5, "Long_Swing")</f>
        <v>Long_Swing</v>
      </c>
      <c r="T47" s="1">
        <v>32.799999999999997</v>
      </c>
      <c r="U47" s="1">
        <v>9.4</v>
      </c>
      <c r="V47" s="1" t="str" cm="1">
        <f t="array" ref="V47">_xlfn.IFS(U47&lt;6,"Flat",U47&lt;=14,"Average",U47&gt;14,"Steep")</f>
        <v>Average</v>
      </c>
      <c r="W47" s="1">
        <v>-1.8</v>
      </c>
      <c r="X47" s="1">
        <v>27.9</v>
      </c>
      <c r="Y47" s="1">
        <v>47.3</v>
      </c>
    </row>
    <row r="48" spans="1:25" x14ac:dyDescent="0.3">
      <c r="A48" t="s">
        <v>140</v>
      </c>
      <c r="B48" t="s">
        <v>139</v>
      </c>
      <c r="C48" s="1">
        <v>661388</v>
      </c>
      <c r="D48" s="1" t="s">
        <v>130</v>
      </c>
      <c r="E48" s="1" t="s">
        <v>27</v>
      </c>
      <c r="F48" s="1">
        <v>2</v>
      </c>
      <c r="G48" s="1">
        <v>813</v>
      </c>
      <c r="H48" s="1">
        <v>31.8</v>
      </c>
      <c r="I48" s="1">
        <v>0.245</v>
      </c>
      <c r="J48" s="1">
        <v>0.41099999999999998</v>
      </c>
      <c r="K48" s="1">
        <v>0.36899999999999999</v>
      </c>
      <c r="L48" s="1">
        <v>0.35899999999999999</v>
      </c>
      <c r="M48" s="1">
        <v>54.1</v>
      </c>
      <c r="N48" s="1">
        <v>20.5</v>
      </c>
      <c r="O48" s="1">
        <v>22.2</v>
      </c>
      <c r="P48" s="1">
        <v>72.900000000000006</v>
      </c>
      <c r="Q48" s="1">
        <v>0.29499999999999998</v>
      </c>
      <c r="R48" s="1">
        <v>6.7</v>
      </c>
      <c r="S48" s="1" t="str" cm="1">
        <f t="array" ref="S48">_xlfn.IFS(R48&lt;6.5, "Short_Swing", R48&lt;=7.4, "Average_Swing", R48&gt;=7.5, "Long_Swing")</f>
        <v>Average_Swing</v>
      </c>
      <c r="T48" s="1">
        <v>29.2</v>
      </c>
      <c r="U48" s="1">
        <v>10.6</v>
      </c>
      <c r="V48" s="1" t="str" cm="1">
        <f t="array" ref="V48">_xlfn.IFS(U48&lt;6,"Flat",U48&lt;=14,"Average",U48&gt;14,"Steep")</f>
        <v>Average</v>
      </c>
      <c r="W48" s="1">
        <v>3.3</v>
      </c>
      <c r="X48" s="1">
        <v>30.2</v>
      </c>
      <c r="Y48" s="1">
        <v>65.7</v>
      </c>
    </row>
    <row r="49" spans="1:25" x14ac:dyDescent="0.3">
      <c r="A49" t="s">
        <v>141</v>
      </c>
      <c r="B49" t="s">
        <v>142</v>
      </c>
      <c r="C49" s="1">
        <v>621043</v>
      </c>
      <c r="D49" s="1" t="s">
        <v>47</v>
      </c>
      <c r="E49" s="1" t="s">
        <v>26</v>
      </c>
      <c r="F49" s="1">
        <v>-6</v>
      </c>
      <c r="G49" s="1">
        <v>521</v>
      </c>
      <c r="H49" s="1">
        <v>22.5</v>
      </c>
      <c r="I49" s="1">
        <v>0.28999999999999998</v>
      </c>
      <c r="J49" s="1">
        <v>0.434</v>
      </c>
      <c r="K49" s="1">
        <v>0.318</v>
      </c>
      <c r="L49" s="1">
        <v>0.33600000000000002</v>
      </c>
      <c r="M49" s="1">
        <v>49.6</v>
      </c>
      <c r="N49" s="1">
        <v>12.3</v>
      </c>
      <c r="O49" s="1">
        <v>13.8</v>
      </c>
      <c r="P49" s="1">
        <v>73.599999999999994</v>
      </c>
      <c r="Q49" s="1">
        <v>0.375</v>
      </c>
      <c r="R49" s="1">
        <v>6.7</v>
      </c>
      <c r="S49" s="1" t="str" cm="1">
        <f t="array" ref="S49">_xlfn.IFS(R49&lt;6.5, "Short_Swing", R49&lt;=7.4, "Average_Swing", R49&gt;=7.5, "Long_Swing")</f>
        <v>Average_Swing</v>
      </c>
      <c r="T49" s="1">
        <v>33.1</v>
      </c>
      <c r="U49" s="1">
        <v>7.7</v>
      </c>
      <c r="V49" s="1" t="str" cm="1">
        <f t="array" ref="V49">_xlfn.IFS(U49&lt;6,"Flat",U49&lt;=14,"Average",U49&gt;14,"Steep")</f>
        <v>Average</v>
      </c>
      <c r="W49" s="1">
        <v>-1.5</v>
      </c>
      <c r="X49" s="1">
        <v>28.5</v>
      </c>
      <c r="Y49" s="1">
        <v>41.7</v>
      </c>
    </row>
    <row r="50" spans="1:25" x14ac:dyDescent="0.3">
      <c r="A50" t="s">
        <v>143</v>
      </c>
      <c r="B50" t="s">
        <v>144</v>
      </c>
      <c r="C50" s="1">
        <v>641487</v>
      </c>
      <c r="D50" s="1" t="s">
        <v>59</v>
      </c>
      <c r="E50" s="1" t="s">
        <v>26</v>
      </c>
      <c r="F50" s="1">
        <v>-6</v>
      </c>
      <c r="G50" s="1">
        <v>413</v>
      </c>
      <c r="H50" s="1">
        <v>15.1</v>
      </c>
      <c r="I50" s="1">
        <v>0.26100000000000001</v>
      </c>
      <c r="J50" s="1">
        <v>0.36699999999999999</v>
      </c>
      <c r="K50" s="1">
        <v>0.28000000000000003</v>
      </c>
      <c r="L50" s="1">
        <v>0.318</v>
      </c>
      <c r="M50" s="1">
        <v>40.5</v>
      </c>
      <c r="N50" s="1">
        <v>14</v>
      </c>
      <c r="O50" s="1">
        <v>12.7</v>
      </c>
      <c r="P50" s="1">
        <v>70.3</v>
      </c>
      <c r="Q50" s="1">
        <v>0.152</v>
      </c>
      <c r="R50" s="1">
        <v>6.8</v>
      </c>
      <c r="S50" s="1" t="str" cm="1">
        <f t="array" ref="S50">_xlfn.IFS(R50&lt;6.5, "Short_Swing", R50&lt;=7.4, "Average_Swing", R50&gt;=7.5, "Long_Swing")</f>
        <v>Average_Swing</v>
      </c>
      <c r="T50" s="1">
        <v>36</v>
      </c>
      <c r="U50" s="1">
        <v>4.7</v>
      </c>
      <c r="V50" s="1" t="str" cm="1">
        <f t="array" ref="V50">_xlfn.IFS(U50&lt;6,"Flat",U50&lt;=14,"Average",U50&gt;14,"Steep")</f>
        <v>Flat</v>
      </c>
      <c r="W50" s="1">
        <v>1.7</v>
      </c>
      <c r="X50" s="1">
        <v>36.6</v>
      </c>
      <c r="Y50" s="1">
        <v>36.799999999999997</v>
      </c>
    </row>
    <row r="51" spans="1:25" x14ac:dyDescent="0.3">
      <c r="A51" t="s">
        <v>100</v>
      </c>
      <c r="B51" t="s">
        <v>145</v>
      </c>
      <c r="C51" s="1">
        <v>630105</v>
      </c>
      <c r="D51" s="1" t="s">
        <v>62</v>
      </c>
      <c r="E51" s="1" t="s">
        <v>27</v>
      </c>
      <c r="F51" s="1">
        <v>9</v>
      </c>
      <c r="G51" s="1">
        <v>879</v>
      </c>
      <c r="H51" s="1">
        <v>40.200000000000003</v>
      </c>
      <c r="I51" s="1">
        <v>0.253</v>
      </c>
      <c r="J51" s="1">
        <v>0.41199999999999998</v>
      </c>
      <c r="K51" s="1">
        <v>0.40100000000000002</v>
      </c>
      <c r="L51" s="1">
        <v>0.38500000000000001</v>
      </c>
      <c r="M51" s="1">
        <v>41.1</v>
      </c>
      <c r="N51" s="1">
        <v>11.8</v>
      </c>
      <c r="O51" s="1">
        <v>11.8</v>
      </c>
      <c r="P51" s="1">
        <v>70.400000000000006</v>
      </c>
      <c r="Q51" s="1">
        <v>0.129</v>
      </c>
      <c r="R51" s="1">
        <v>6.6</v>
      </c>
      <c r="S51" s="1" t="str" cm="1">
        <f t="array" ref="S51">_xlfn.IFS(R51&lt;6.5, "Short_Swing", R51&lt;=7.4, "Average_Swing", R51&gt;=7.5, "Long_Swing")</f>
        <v>Average_Swing</v>
      </c>
      <c r="T51" s="1">
        <v>31.1</v>
      </c>
      <c r="U51" s="1">
        <v>7.4</v>
      </c>
      <c r="V51" s="1" t="str" cm="1">
        <f t="array" ref="V51">_xlfn.IFS(U51&lt;6,"Flat",U51&lt;=14,"Average",U51&gt;14,"Steep")</f>
        <v>Average</v>
      </c>
      <c r="W51" s="1">
        <v>-0.7</v>
      </c>
      <c r="X51" s="1">
        <v>30.6</v>
      </c>
      <c r="Y51" s="1">
        <v>36.5</v>
      </c>
    </row>
    <row r="52" spans="1:25" x14ac:dyDescent="0.3">
      <c r="A52" t="s">
        <v>42</v>
      </c>
      <c r="B52" t="s">
        <v>146</v>
      </c>
      <c r="C52" s="1">
        <v>691718</v>
      </c>
      <c r="D52" s="1" t="s">
        <v>106</v>
      </c>
      <c r="E52" s="1" t="s">
        <v>27</v>
      </c>
      <c r="F52" s="1">
        <v>-4</v>
      </c>
      <c r="G52" s="1">
        <v>737</v>
      </c>
      <c r="H52" s="1">
        <v>31.9</v>
      </c>
      <c r="I52" s="1">
        <v>0.214</v>
      </c>
      <c r="J52" s="1">
        <v>0.51500000000000001</v>
      </c>
      <c r="K52" s="1">
        <v>0.27600000000000002</v>
      </c>
      <c r="L52" s="1">
        <v>0.32400000000000001</v>
      </c>
      <c r="M52" s="1">
        <v>53.8</v>
      </c>
      <c r="N52" s="1">
        <v>32.4</v>
      </c>
      <c r="O52" s="1">
        <v>34.700000000000003</v>
      </c>
      <c r="P52" s="1">
        <v>73</v>
      </c>
      <c r="Q52" s="1">
        <v>0.29499999999999998</v>
      </c>
      <c r="R52" s="1">
        <v>6.7</v>
      </c>
      <c r="S52" s="1" t="str" cm="1">
        <f t="array" ref="S52">_xlfn.IFS(R52&lt;6.5, "Short_Swing", R52&lt;=7.4, "Average_Swing", R52&gt;=7.5, "Long_Swing")</f>
        <v>Average_Swing</v>
      </c>
      <c r="T52" s="1">
        <v>34.9</v>
      </c>
      <c r="U52" s="1">
        <v>14.6</v>
      </c>
      <c r="V52" s="1" t="str" cm="1">
        <f t="array" ref="V52">_xlfn.IFS(U52&lt;6,"Flat",U52&lt;=14,"Average",U52&gt;14,"Steep")</f>
        <v>Steep</v>
      </c>
      <c r="W52" s="1">
        <v>-3.5</v>
      </c>
      <c r="X52" s="1">
        <v>36.200000000000003</v>
      </c>
      <c r="Y52" s="1">
        <v>50</v>
      </c>
    </row>
    <row r="53" spans="1:25" x14ac:dyDescent="0.3">
      <c r="A53" t="s">
        <v>147</v>
      </c>
      <c r="B53" t="s">
        <v>148</v>
      </c>
      <c r="C53" s="1">
        <v>665833</v>
      </c>
      <c r="D53" s="1" t="s">
        <v>149</v>
      </c>
      <c r="E53" s="1" t="s">
        <v>26</v>
      </c>
      <c r="F53" s="1">
        <v>2</v>
      </c>
      <c r="G53" s="1">
        <v>305</v>
      </c>
      <c r="H53" s="1">
        <v>13.6</v>
      </c>
      <c r="I53" s="1">
        <v>0.224</v>
      </c>
      <c r="J53" s="1">
        <v>0.35199999999999998</v>
      </c>
      <c r="K53" s="1">
        <v>0.38900000000000001</v>
      </c>
      <c r="L53" s="1">
        <v>0.311</v>
      </c>
      <c r="M53" s="1">
        <v>50</v>
      </c>
      <c r="N53" s="1">
        <v>20.8</v>
      </c>
      <c r="O53" s="1">
        <v>22.5</v>
      </c>
      <c r="P53" s="1">
        <v>78.3</v>
      </c>
      <c r="Q53" s="1">
        <v>0.76200000000000001</v>
      </c>
      <c r="R53" s="1">
        <v>7.1</v>
      </c>
      <c r="S53" s="1" t="str" cm="1">
        <f t="array" ref="S53">_xlfn.IFS(R53&lt;6.5, "Short_Swing", R53&lt;=7.4, "Average_Swing", R53&gt;=7.5, "Long_Swing")</f>
        <v>Average_Swing</v>
      </c>
      <c r="T53" s="1">
        <v>33.4</v>
      </c>
      <c r="U53" s="1">
        <v>9.1999999999999993</v>
      </c>
      <c r="V53" s="1" t="str" cm="1">
        <f t="array" ref="V53">_xlfn.IFS(U53&lt;6,"Flat",U53&lt;=14,"Average",U53&gt;14,"Steep")</f>
        <v>Average</v>
      </c>
      <c r="W53" s="1">
        <v>-7.3</v>
      </c>
      <c r="X53" s="1">
        <v>35.4</v>
      </c>
      <c r="Y53" s="1">
        <v>47.8</v>
      </c>
    </row>
    <row r="54" spans="1:25" x14ac:dyDescent="0.3">
      <c r="A54" t="s">
        <v>150</v>
      </c>
      <c r="B54" t="s">
        <v>151</v>
      </c>
      <c r="C54" s="1">
        <v>650490</v>
      </c>
      <c r="D54" s="1" t="s">
        <v>50</v>
      </c>
      <c r="E54" s="1" t="s">
        <v>26</v>
      </c>
      <c r="F54" s="1">
        <v>3</v>
      </c>
      <c r="G54" s="1">
        <v>624</v>
      </c>
      <c r="H54" s="1">
        <v>24.8</v>
      </c>
      <c r="I54" s="1">
        <v>0.3</v>
      </c>
      <c r="J54" s="1">
        <v>0.47199999999999998</v>
      </c>
      <c r="K54" s="1">
        <v>0.38900000000000001</v>
      </c>
      <c r="L54" s="1">
        <v>0.376</v>
      </c>
      <c r="M54" s="1">
        <v>48.8</v>
      </c>
      <c r="N54" s="1">
        <v>14.8</v>
      </c>
      <c r="O54" s="1">
        <v>8.6999999999999993</v>
      </c>
      <c r="P54" s="1">
        <v>72.5</v>
      </c>
      <c r="Q54" s="1">
        <v>0.253</v>
      </c>
      <c r="R54" s="1">
        <v>7.4</v>
      </c>
      <c r="S54" s="1" t="str" cm="1">
        <f t="array" ref="S54">_xlfn.IFS(R54&lt;6.5, "Short_Swing", R54&lt;=7.4, "Average_Swing", R54&gt;=7.5, "Long_Swing")</f>
        <v>Average_Swing</v>
      </c>
      <c r="T54" s="1">
        <v>24.4</v>
      </c>
      <c r="U54" s="1">
        <v>2.9</v>
      </c>
      <c r="V54" s="1" t="str" cm="1">
        <f t="array" ref="V54">_xlfn.IFS(U54&lt;6,"Flat",U54&lt;=14,"Average",U54&gt;14,"Steep")</f>
        <v>Flat</v>
      </c>
      <c r="W54" s="1">
        <v>7</v>
      </c>
      <c r="X54" s="1">
        <v>29.9</v>
      </c>
      <c r="Y54" s="1">
        <v>35.299999999999997</v>
      </c>
    </row>
    <row r="55" spans="1:25" x14ac:dyDescent="0.3">
      <c r="A55" t="s">
        <v>152</v>
      </c>
      <c r="B55" t="s">
        <v>153</v>
      </c>
      <c r="C55" s="1">
        <v>682829</v>
      </c>
      <c r="D55" s="1" t="s">
        <v>154</v>
      </c>
      <c r="E55" s="1" t="s">
        <v>27</v>
      </c>
      <c r="F55" s="1">
        <v>6</v>
      </c>
      <c r="G55" s="1">
        <v>832</v>
      </c>
      <c r="H55" s="1">
        <v>31.1</v>
      </c>
      <c r="I55" s="1">
        <v>0.248</v>
      </c>
      <c r="J55" s="1">
        <v>0.51600000000000001</v>
      </c>
      <c r="K55" s="1">
        <v>0.39400000000000002</v>
      </c>
      <c r="L55" s="1">
        <v>0.36099999999999999</v>
      </c>
      <c r="M55" s="1">
        <v>56.1</v>
      </c>
      <c r="N55" s="1">
        <v>31.7</v>
      </c>
      <c r="O55" s="1">
        <v>24.9</v>
      </c>
      <c r="P55" s="1">
        <v>74.599999999999994</v>
      </c>
      <c r="Q55" s="1">
        <v>0.46300000000000002</v>
      </c>
      <c r="R55" s="1">
        <v>6.7</v>
      </c>
      <c r="S55" s="1" t="str" cm="1">
        <f t="array" ref="S55">_xlfn.IFS(R55&lt;6.5, "Short_Swing", R55&lt;=7.4, "Average_Swing", R55&gt;=7.5, "Long_Swing")</f>
        <v>Average_Swing</v>
      </c>
      <c r="T55" s="1">
        <v>33.700000000000003</v>
      </c>
      <c r="U55" s="1">
        <v>8.3000000000000007</v>
      </c>
      <c r="V55" s="1" t="str" cm="1">
        <f t="array" ref="V55">_xlfn.IFS(U55&lt;6,"Flat",U55&lt;=14,"Average",U55&gt;14,"Steep")</f>
        <v>Average</v>
      </c>
      <c r="W55" s="1">
        <v>-0.3</v>
      </c>
      <c r="X55" s="1">
        <v>37</v>
      </c>
      <c r="Y55" s="1">
        <v>49.5</v>
      </c>
    </row>
    <row r="56" spans="1:25" x14ac:dyDescent="0.3">
      <c r="A56" t="s">
        <v>155</v>
      </c>
      <c r="B56" t="s">
        <v>156</v>
      </c>
      <c r="C56" s="1">
        <v>646240</v>
      </c>
      <c r="D56" s="1" t="s">
        <v>36</v>
      </c>
      <c r="E56" s="1" t="s">
        <v>26</v>
      </c>
      <c r="F56" s="1">
        <v>-1</v>
      </c>
      <c r="G56" s="1">
        <v>420</v>
      </c>
      <c r="H56" s="1">
        <v>13.7</v>
      </c>
      <c r="I56" s="1">
        <v>0.24</v>
      </c>
      <c r="J56" s="1">
        <v>0.40400000000000003</v>
      </c>
      <c r="K56" s="1">
        <v>0.31900000000000001</v>
      </c>
      <c r="L56" s="1">
        <v>0.35099999999999998</v>
      </c>
      <c r="M56" s="1">
        <v>51.3</v>
      </c>
      <c r="N56" s="1">
        <v>17.3</v>
      </c>
      <c r="O56" s="1">
        <v>19.5</v>
      </c>
      <c r="P56" s="1">
        <v>71.099999999999994</v>
      </c>
      <c r="Q56" s="1">
        <v>0.14399999999999999</v>
      </c>
      <c r="R56" s="1">
        <v>7.3</v>
      </c>
      <c r="S56" s="1" t="str" cm="1">
        <f t="array" ref="S56">_xlfn.IFS(R56&lt;6.5, "Short_Swing", R56&lt;=7.4, "Average_Swing", R56&gt;=7.5, "Long_Swing")</f>
        <v>Average_Swing</v>
      </c>
      <c r="T56" s="1">
        <v>29.9</v>
      </c>
      <c r="U56" s="1">
        <v>10</v>
      </c>
      <c r="V56" s="1" t="str" cm="1">
        <f t="array" ref="V56">_xlfn.IFS(U56&lt;6,"Flat",U56&lt;=14,"Average",U56&gt;14,"Steep")</f>
        <v>Average</v>
      </c>
      <c r="W56" s="1">
        <v>4.5</v>
      </c>
      <c r="X56" s="1">
        <v>28.5</v>
      </c>
      <c r="Y56" s="1">
        <v>59.5</v>
      </c>
    </row>
    <row r="57" spans="1:25" x14ac:dyDescent="0.3">
      <c r="A57" t="s">
        <v>157</v>
      </c>
      <c r="B57" t="s">
        <v>158</v>
      </c>
      <c r="C57" s="1">
        <v>673237</v>
      </c>
      <c r="D57" s="1" t="s">
        <v>47</v>
      </c>
      <c r="E57" s="1" t="s">
        <v>26</v>
      </c>
      <c r="F57" s="1">
        <v>2</v>
      </c>
      <c r="G57" s="1">
        <v>287</v>
      </c>
      <c r="H57" s="1">
        <v>15.3</v>
      </c>
      <c r="I57" s="1">
        <v>0.32300000000000001</v>
      </c>
      <c r="J57" s="1">
        <v>0.53700000000000003</v>
      </c>
      <c r="K57" s="1">
        <v>0.40500000000000003</v>
      </c>
      <c r="L57" s="1">
        <v>0.377</v>
      </c>
      <c r="M57" s="1">
        <v>44.9</v>
      </c>
      <c r="N57" s="1">
        <v>10.1</v>
      </c>
      <c r="O57" s="1">
        <v>7.1</v>
      </c>
      <c r="P57" s="1">
        <v>71.900000000000006</v>
      </c>
      <c r="Q57" s="1">
        <v>0.17599999999999999</v>
      </c>
      <c r="R57" s="1">
        <v>6.8</v>
      </c>
      <c r="S57" s="1" t="str" cm="1">
        <f t="array" ref="S57">_xlfn.IFS(R57&lt;6.5, "Short_Swing", R57&lt;=7.4, "Average_Swing", R57&gt;=7.5, "Long_Swing")</f>
        <v>Average_Swing</v>
      </c>
      <c r="T57" s="1">
        <v>28.3</v>
      </c>
      <c r="U57" s="1">
        <v>10.4</v>
      </c>
      <c r="V57" s="1" t="str" cm="1">
        <f t="array" ref="V57">_xlfn.IFS(U57&lt;6,"Flat",U57&lt;=14,"Average",U57&gt;14,"Steep")</f>
        <v>Average</v>
      </c>
      <c r="W57" s="1">
        <v>1</v>
      </c>
      <c r="X57" s="1">
        <v>32.4</v>
      </c>
      <c r="Y57" s="1">
        <v>59.2</v>
      </c>
    </row>
    <row r="58" spans="1:25" x14ac:dyDescent="0.3">
      <c r="A58" t="s">
        <v>159</v>
      </c>
      <c r="B58" t="s">
        <v>160</v>
      </c>
      <c r="C58" s="1">
        <v>693307</v>
      </c>
      <c r="D58" s="1" t="s">
        <v>68</v>
      </c>
      <c r="E58" s="1" t="s">
        <v>26</v>
      </c>
      <c r="F58" s="1">
        <v>4</v>
      </c>
      <c r="G58" s="1">
        <v>309</v>
      </c>
      <c r="H58" s="1">
        <v>17.2</v>
      </c>
      <c r="I58" s="1">
        <v>0.32800000000000001</v>
      </c>
      <c r="J58" s="1">
        <v>0.55700000000000005</v>
      </c>
      <c r="K58" s="1">
        <v>0.433</v>
      </c>
      <c r="L58" s="1">
        <v>0.40699999999999997</v>
      </c>
      <c r="M58" s="1">
        <v>45.3</v>
      </c>
      <c r="N58" s="1">
        <v>13.4</v>
      </c>
      <c r="O58" s="1">
        <v>14.5</v>
      </c>
      <c r="P58" s="1">
        <v>71.599999999999994</v>
      </c>
      <c r="Q58" s="1">
        <v>0.12</v>
      </c>
      <c r="R58" s="1">
        <v>7.2</v>
      </c>
      <c r="S58" s="1" t="str" cm="1">
        <f t="array" ref="S58">_xlfn.IFS(R58&lt;6.5, "Short_Swing", R58&lt;=7.4, "Average_Swing", R58&gt;=7.5, "Long_Swing")</f>
        <v>Average_Swing</v>
      </c>
      <c r="T58" s="1">
        <v>39.799999999999997</v>
      </c>
      <c r="U58" s="1">
        <v>10.8</v>
      </c>
      <c r="V58" s="1" t="str" cm="1">
        <f t="array" ref="V58">_xlfn.IFS(U58&lt;6,"Flat",U58&lt;=14,"Average",U58&gt;14,"Steep")</f>
        <v>Average</v>
      </c>
      <c r="W58" s="1">
        <v>-0.3</v>
      </c>
      <c r="X58" s="1">
        <v>27.8</v>
      </c>
      <c r="Y58" s="1">
        <v>49.4</v>
      </c>
    </row>
    <row r="59" spans="1:25" x14ac:dyDescent="0.3">
      <c r="A59" t="s">
        <v>161</v>
      </c>
      <c r="B59" t="s">
        <v>162</v>
      </c>
      <c r="C59" s="1">
        <v>691176</v>
      </c>
      <c r="D59" s="1" t="s">
        <v>85</v>
      </c>
      <c r="E59" s="1" t="s">
        <v>27</v>
      </c>
      <c r="F59" s="1">
        <v>-3</v>
      </c>
      <c r="G59" s="1">
        <v>564</v>
      </c>
      <c r="H59" s="1">
        <v>33.299999999999997</v>
      </c>
      <c r="I59" s="1">
        <v>0.249</v>
      </c>
      <c r="J59" s="1">
        <v>0.35099999999999998</v>
      </c>
      <c r="K59" s="1">
        <v>0.30499999999999999</v>
      </c>
      <c r="L59" s="1">
        <v>0.311</v>
      </c>
      <c r="M59" s="1">
        <v>52.2</v>
      </c>
      <c r="N59" s="1">
        <v>22.6</v>
      </c>
      <c r="O59" s="1">
        <v>28.4</v>
      </c>
      <c r="P59" s="1">
        <v>73.400000000000006</v>
      </c>
      <c r="Q59" s="1">
        <v>0.28699999999999998</v>
      </c>
      <c r="R59" s="1">
        <v>7.2</v>
      </c>
      <c r="S59" s="1" t="str" cm="1">
        <f t="array" ref="S59">_xlfn.IFS(R59&lt;6.5, "Short_Swing", R59&lt;=7.4, "Average_Swing", R59&gt;=7.5, "Long_Swing")</f>
        <v>Average_Swing</v>
      </c>
      <c r="T59" s="1">
        <v>31.4</v>
      </c>
      <c r="U59" s="1">
        <v>6.5</v>
      </c>
      <c r="V59" s="1" t="str" cm="1">
        <f t="array" ref="V59">_xlfn.IFS(U59&lt;6,"Flat",U59&lt;=14,"Average",U59&gt;14,"Steep")</f>
        <v>Average</v>
      </c>
      <c r="W59" s="1">
        <v>-3.6</v>
      </c>
      <c r="X59" s="1">
        <v>30.1</v>
      </c>
      <c r="Y59" s="1">
        <v>46.4</v>
      </c>
    </row>
    <row r="60" spans="1:25" x14ac:dyDescent="0.3">
      <c r="A60" t="s">
        <v>163</v>
      </c>
      <c r="B60" t="s">
        <v>164</v>
      </c>
      <c r="C60" s="1">
        <v>680977</v>
      </c>
      <c r="D60" s="1" t="s">
        <v>53</v>
      </c>
      <c r="E60" s="1" t="s">
        <v>27</v>
      </c>
      <c r="F60" s="1">
        <v>9</v>
      </c>
      <c r="G60" s="1">
        <v>618</v>
      </c>
      <c r="H60" s="1">
        <v>32.1</v>
      </c>
      <c r="I60" s="1">
        <v>0.29699999999999999</v>
      </c>
      <c r="J60" s="1">
        <v>0.497</v>
      </c>
      <c r="K60" s="1">
        <v>0.441</v>
      </c>
      <c r="L60" s="1">
        <v>0.39</v>
      </c>
      <c r="M60" s="1">
        <v>38.799999999999997</v>
      </c>
      <c r="N60" s="1">
        <v>8.5</v>
      </c>
      <c r="O60" s="1">
        <v>8.9</v>
      </c>
      <c r="P60" s="1">
        <v>68.400000000000006</v>
      </c>
      <c r="Q60" s="1">
        <v>3.4000000000000002E-2</v>
      </c>
      <c r="R60" s="1">
        <v>6.4</v>
      </c>
      <c r="S60" s="1" t="str" cm="1">
        <f t="array" ref="S60">_xlfn.IFS(R60&lt;6.5, "Short_Swing", R60&lt;=7.4, "Average_Swing", R60&gt;=7.5, "Long_Swing")</f>
        <v>Short_Swing</v>
      </c>
      <c r="T60" s="1">
        <v>30.4</v>
      </c>
      <c r="U60" s="1">
        <v>7.9</v>
      </c>
      <c r="V60" s="1" t="str" cm="1">
        <f t="array" ref="V60">_xlfn.IFS(U60&lt;6,"Flat",U60&lt;=14,"Average",U60&gt;14,"Steep")</f>
        <v>Average</v>
      </c>
      <c r="W60" s="1">
        <v>1.8</v>
      </c>
      <c r="X60" s="1">
        <v>24.9</v>
      </c>
      <c r="Y60" s="1">
        <v>49.2</v>
      </c>
    </row>
    <row r="61" spans="1:25" x14ac:dyDescent="0.3">
      <c r="A61" t="s">
        <v>165</v>
      </c>
      <c r="B61" t="s">
        <v>166</v>
      </c>
      <c r="C61" s="1">
        <v>686668</v>
      </c>
      <c r="D61" s="1" t="s">
        <v>80</v>
      </c>
      <c r="E61" s="1" t="s">
        <v>26</v>
      </c>
      <c r="F61" s="1">
        <v>-1</v>
      </c>
      <c r="G61" s="1">
        <v>313</v>
      </c>
      <c r="H61" s="1">
        <v>16</v>
      </c>
      <c r="I61" s="1">
        <v>0.26600000000000001</v>
      </c>
      <c r="J61" s="1">
        <v>0.39800000000000002</v>
      </c>
      <c r="K61" s="1">
        <v>0.34599999999999997</v>
      </c>
      <c r="L61" s="1">
        <v>0.312</v>
      </c>
      <c r="M61" s="1">
        <v>42.5</v>
      </c>
      <c r="N61" s="1">
        <v>11.2</v>
      </c>
      <c r="O61" s="1">
        <v>8.5</v>
      </c>
      <c r="P61" s="1">
        <v>70.8</v>
      </c>
      <c r="Q61" s="1">
        <v>5.3999999999999999E-2</v>
      </c>
      <c r="R61" s="1">
        <v>6.8</v>
      </c>
      <c r="S61" s="1" t="str" cm="1">
        <f t="array" ref="S61">_xlfn.IFS(R61&lt;6.5, "Short_Swing", R61&lt;=7.4, "Average_Swing", R61&gt;=7.5, "Long_Swing")</f>
        <v>Average_Swing</v>
      </c>
      <c r="T61" s="1">
        <v>30.3</v>
      </c>
      <c r="U61" s="1">
        <v>11.5</v>
      </c>
      <c r="V61" s="1" t="str" cm="1">
        <f t="array" ref="V61">_xlfn.IFS(U61&lt;6,"Flat",U61&lt;=14,"Average",U61&gt;14,"Steep")</f>
        <v>Average</v>
      </c>
      <c r="W61" s="1">
        <v>0.6</v>
      </c>
      <c r="X61" s="1">
        <v>26</v>
      </c>
      <c r="Y61" s="1">
        <v>64.599999999999994</v>
      </c>
    </row>
    <row r="62" spans="1:25" x14ac:dyDescent="0.3">
      <c r="A62" t="s">
        <v>167</v>
      </c>
      <c r="B62" t="s">
        <v>168</v>
      </c>
      <c r="C62" s="1">
        <v>680776</v>
      </c>
      <c r="D62" s="1" t="s">
        <v>30</v>
      </c>
      <c r="E62" s="1" t="s">
        <v>27</v>
      </c>
      <c r="F62" s="1">
        <v>7</v>
      </c>
      <c r="G62" s="1">
        <v>988</v>
      </c>
      <c r="H62" s="1">
        <v>37.700000000000003</v>
      </c>
      <c r="I62" s="1">
        <v>0.26200000000000001</v>
      </c>
      <c r="J62" s="1">
        <v>0.44500000000000001</v>
      </c>
      <c r="K62" s="1">
        <v>0.38600000000000001</v>
      </c>
      <c r="L62" s="1">
        <v>0.36499999999999999</v>
      </c>
      <c r="M62" s="1">
        <v>54.5</v>
      </c>
      <c r="N62" s="1">
        <v>25.4</v>
      </c>
      <c r="O62" s="1">
        <v>23.4</v>
      </c>
      <c r="P62" s="1">
        <v>74.099999999999994</v>
      </c>
      <c r="Q62" s="1">
        <v>0.41699999999999998</v>
      </c>
      <c r="R62" s="1">
        <v>7</v>
      </c>
      <c r="S62" s="1" t="str" cm="1">
        <f t="array" ref="S62">_xlfn.IFS(R62&lt;6.5, "Short_Swing", R62&lt;=7.4, "Average_Swing", R62&gt;=7.5, "Long_Swing")</f>
        <v>Average_Swing</v>
      </c>
      <c r="T62" s="1">
        <v>26.6</v>
      </c>
      <c r="U62" s="1">
        <v>5.6</v>
      </c>
      <c r="V62" s="1" t="str" cm="1">
        <f t="array" ref="V62">_xlfn.IFS(U62&lt;6,"Flat",U62&lt;=14,"Average",U62&gt;14,"Steep")</f>
        <v>Flat</v>
      </c>
      <c r="W62" s="1">
        <v>0.2</v>
      </c>
      <c r="X62" s="1">
        <v>31.7</v>
      </c>
      <c r="Y62" s="1">
        <v>44.5</v>
      </c>
    </row>
    <row r="63" spans="1:25" x14ac:dyDescent="0.3">
      <c r="A63" t="s">
        <v>169</v>
      </c>
      <c r="B63" t="s">
        <v>170</v>
      </c>
      <c r="C63" s="1">
        <v>702332</v>
      </c>
      <c r="D63" s="1" t="s">
        <v>130</v>
      </c>
      <c r="E63" s="1" t="s">
        <v>27</v>
      </c>
      <c r="F63" s="1">
        <v>-4</v>
      </c>
      <c r="G63" s="1">
        <v>555</v>
      </c>
      <c r="H63" s="1">
        <v>30.2</v>
      </c>
      <c r="I63" s="1">
        <v>0.26100000000000001</v>
      </c>
      <c r="J63" s="1">
        <v>0.40699999999999997</v>
      </c>
      <c r="K63" s="1">
        <v>0.315</v>
      </c>
      <c r="L63" s="1">
        <v>0.32400000000000001</v>
      </c>
      <c r="M63" s="1">
        <v>31.3</v>
      </c>
      <c r="N63" s="1">
        <v>6</v>
      </c>
      <c r="O63" s="1">
        <v>5.7</v>
      </c>
      <c r="P63" s="1">
        <v>68.2</v>
      </c>
      <c r="Q63" s="1">
        <v>1.9E-2</v>
      </c>
      <c r="R63" s="1">
        <v>6.5</v>
      </c>
      <c r="S63" s="1" t="str" cm="1">
        <f t="array" ref="S63">_xlfn.IFS(R63&lt;6.5, "Short_Swing", R63&lt;=7.4, "Average_Swing", R63&gt;=7.5, "Long_Swing")</f>
        <v>Average_Swing</v>
      </c>
      <c r="T63" s="1">
        <v>27.6</v>
      </c>
      <c r="U63" s="1">
        <v>8.1</v>
      </c>
      <c r="V63" s="1" t="str" cm="1">
        <f t="array" ref="V63">_xlfn.IFS(U63&lt;6,"Flat",U63&lt;=14,"Average",U63&gt;14,"Steep")</f>
        <v>Average</v>
      </c>
      <c r="W63" s="1">
        <v>-4</v>
      </c>
      <c r="X63" s="1">
        <v>27.8</v>
      </c>
      <c r="Y63" s="1">
        <v>63.8</v>
      </c>
    </row>
    <row r="64" spans="1:25" x14ac:dyDescent="0.3">
      <c r="A64" t="s">
        <v>171</v>
      </c>
      <c r="B64" t="s">
        <v>172</v>
      </c>
      <c r="C64" s="1">
        <v>669242</v>
      </c>
      <c r="D64" s="1" t="s">
        <v>91</v>
      </c>
      <c r="E64" s="1" t="s">
        <v>27</v>
      </c>
      <c r="F64" s="1">
        <v>-4</v>
      </c>
      <c r="G64" s="1">
        <v>412</v>
      </c>
      <c r="H64" s="1">
        <v>30.8</v>
      </c>
      <c r="I64" s="1">
        <v>0.255</v>
      </c>
      <c r="J64" s="1">
        <v>0.40100000000000002</v>
      </c>
      <c r="K64" s="1">
        <v>0.30099999999999999</v>
      </c>
      <c r="L64" s="1">
        <v>0.32600000000000001</v>
      </c>
      <c r="M64" s="1">
        <v>34.5</v>
      </c>
      <c r="N64" s="1">
        <v>19.100000000000001</v>
      </c>
      <c r="O64" s="1">
        <v>18</v>
      </c>
      <c r="P64" s="1">
        <v>69.099999999999994</v>
      </c>
      <c r="Q64" s="1">
        <v>0.108</v>
      </c>
      <c r="R64" s="1">
        <v>6.5</v>
      </c>
      <c r="S64" s="1" t="str" cm="1">
        <f t="array" ref="S64">_xlfn.IFS(R64&lt;6.5, "Short_Swing", R64&lt;=7.4, "Average_Swing", R64&gt;=7.5, "Long_Swing")</f>
        <v>Average_Swing</v>
      </c>
      <c r="T64" s="1">
        <v>26.6</v>
      </c>
      <c r="U64" s="1">
        <v>9.9</v>
      </c>
      <c r="V64" s="1" t="str" cm="1">
        <f t="array" ref="V64">_xlfn.IFS(U64&lt;6,"Flat",U64&lt;=14,"Average",U64&gt;14,"Steep")</f>
        <v>Average</v>
      </c>
      <c r="W64" s="1">
        <v>-1.4</v>
      </c>
      <c r="X64" s="1">
        <v>29.7</v>
      </c>
      <c r="Y64" s="1">
        <v>59.7</v>
      </c>
    </row>
    <row r="65" spans="1:25" x14ac:dyDescent="0.3">
      <c r="A65" t="s">
        <v>173</v>
      </c>
      <c r="B65" t="s">
        <v>174</v>
      </c>
      <c r="C65" s="1">
        <v>669364</v>
      </c>
      <c r="D65" s="1" t="s">
        <v>175</v>
      </c>
      <c r="E65" s="1" t="s">
        <v>27</v>
      </c>
      <c r="F65" s="1">
        <v>-9</v>
      </c>
      <c r="G65" s="1">
        <v>883</v>
      </c>
      <c r="H65" s="1">
        <v>39.200000000000003</v>
      </c>
      <c r="I65" s="1">
        <v>0.24199999999999999</v>
      </c>
      <c r="J65" s="1">
        <v>0.314</v>
      </c>
      <c r="K65" s="1">
        <v>0.317</v>
      </c>
      <c r="L65" s="1">
        <v>0.30299999999999999</v>
      </c>
      <c r="M65" s="1">
        <v>35.1</v>
      </c>
      <c r="N65" s="1">
        <v>12.4</v>
      </c>
      <c r="O65" s="1">
        <v>18.2</v>
      </c>
      <c r="P65" s="1">
        <v>66.900000000000006</v>
      </c>
      <c r="Q65" s="1">
        <v>2.5999999999999999E-2</v>
      </c>
      <c r="R65" s="1">
        <v>6.1</v>
      </c>
      <c r="S65" s="1" t="str" cm="1">
        <f t="array" ref="S65">_xlfn.IFS(R65&lt;6.5, "Short_Swing", R65&lt;=7.4, "Average_Swing", R65&gt;=7.5, "Long_Swing")</f>
        <v>Short_Swing</v>
      </c>
      <c r="T65" s="1">
        <v>31.1</v>
      </c>
      <c r="U65" s="1">
        <v>2.7</v>
      </c>
      <c r="V65" s="1" t="str" cm="1">
        <f t="array" ref="V65">_xlfn.IFS(U65&lt;6,"Flat",U65&lt;=14,"Average",U65&gt;14,"Steep")</f>
        <v>Flat</v>
      </c>
      <c r="W65" s="1">
        <v>2.4</v>
      </c>
      <c r="X65" s="1">
        <v>28.5</v>
      </c>
      <c r="Y65" s="1">
        <v>34.200000000000003</v>
      </c>
    </row>
    <row r="66" spans="1:25" x14ac:dyDescent="0.3">
      <c r="A66" t="s">
        <v>176</v>
      </c>
      <c r="B66" t="s">
        <v>177</v>
      </c>
      <c r="C66" s="1">
        <v>666023</v>
      </c>
      <c r="D66" s="1" t="s">
        <v>62</v>
      </c>
      <c r="E66" s="1" t="s">
        <v>27</v>
      </c>
      <c r="F66" s="1">
        <v>-5</v>
      </c>
      <c r="G66" s="1">
        <v>394</v>
      </c>
      <c r="H66" s="1">
        <v>28.7</v>
      </c>
      <c r="I66" s="1">
        <v>0.23499999999999999</v>
      </c>
      <c r="J66" s="1">
        <v>0.32500000000000001</v>
      </c>
      <c r="K66" s="1">
        <v>0.307</v>
      </c>
      <c r="L66" s="1">
        <v>0.26200000000000001</v>
      </c>
      <c r="M66" s="1">
        <v>39.4</v>
      </c>
      <c r="N66" s="1">
        <v>22.3</v>
      </c>
      <c r="O66" s="1">
        <v>23.9</v>
      </c>
      <c r="P66" s="1">
        <v>69.3</v>
      </c>
      <c r="Q66" s="1">
        <v>0.05</v>
      </c>
      <c r="R66" s="1">
        <v>6.9</v>
      </c>
      <c r="S66" s="1" t="str" cm="1">
        <f t="array" ref="S66">_xlfn.IFS(R66&lt;6.5, "Short_Swing", R66&lt;=7.4, "Average_Swing", R66&gt;=7.5, "Long_Swing")</f>
        <v>Average_Swing</v>
      </c>
      <c r="T66" s="1">
        <v>34.5</v>
      </c>
      <c r="U66" s="1">
        <v>8.9</v>
      </c>
      <c r="V66" s="1" t="str" cm="1">
        <f t="array" ref="V66">_xlfn.IFS(U66&lt;6,"Flat",U66&lt;=14,"Average",U66&gt;14,"Steep")</f>
        <v>Average</v>
      </c>
      <c r="W66" s="1">
        <v>-0.7</v>
      </c>
      <c r="X66" s="1">
        <v>28.7</v>
      </c>
      <c r="Y66" s="1">
        <v>49.5</v>
      </c>
    </row>
    <row r="67" spans="1:25" x14ac:dyDescent="0.3">
      <c r="A67" t="s">
        <v>178</v>
      </c>
      <c r="B67" t="s">
        <v>179</v>
      </c>
      <c r="C67" s="1">
        <v>527038</v>
      </c>
      <c r="D67" s="1" t="s">
        <v>36</v>
      </c>
      <c r="E67" s="1" t="s">
        <v>26</v>
      </c>
      <c r="F67" s="1">
        <v>1</v>
      </c>
      <c r="G67" s="1">
        <v>275</v>
      </c>
      <c r="H67" s="1">
        <v>14.3</v>
      </c>
      <c r="I67" s="1">
        <v>0.28899999999999998</v>
      </c>
      <c r="J67" s="1">
        <v>0.44500000000000001</v>
      </c>
      <c r="K67" s="1">
        <v>0.38700000000000001</v>
      </c>
      <c r="L67" s="1">
        <v>0.34300000000000003</v>
      </c>
      <c r="M67" s="1">
        <v>37</v>
      </c>
      <c r="N67" s="1">
        <v>8.4</v>
      </c>
      <c r="O67" s="1">
        <v>6.3</v>
      </c>
      <c r="P67" s="1">
        <v>65.400000000000006</v>
      </c>
      <c r="Q67" s="1">
        <v>1.2E-2</v>
      </c>
      <c r="R67" s="1">
        <v>6.6</v>
      </c>
      <c r="S67" s="1" t="str" cm="1">
        <f t="array" ref="S67">_xlfn.IFS(R67&lt;6.5, "Short_Swing", R67&lt;=7.4, "Average_Swing", R67&gt;=7.5, "Long_Swing")</f>
        <v>Average_Swing</v>
      </c>
      <c r="T67" s="1">
        <v>32.1</v>
      </c>
      <c r="U67" s="1">
        <v>11.2</v>
      </c>
      <c r="V67" s="1" t="str" cm="1">
        <f t="array" ref="V67">_xlfn.IFS(U67&lt;6,"Flat",U67&lt;=14,"Average",U67&gt;14,"Steep")</f>
        <v>Average</v>
      </c>
      <c r="W67" s="1">
        <v>-6.6</v>
      </c>
      <c r="X67" s="1">
        <v>31.4</v>
      </c>
      <c r="Y67" s="1">
        <v>49.8</v>
      </c>
    </row>
    <row r="68" spans="1:25" x14ac:dyDescent="0.3">
      <c r="A68" t="s">
        <v>180</v>
      </c>
      <c r="B68" t="s">
        <v>181</v>
      </c>
      <c r="C68" s="1">
        <v>664034</v>
      </c>
      <c r="D68" s="1" t="s">
        <v>75</v>
      </c>
      <c r="E68" s="1" t="s">
        <v>27</v>
      </c>
      <c r="F68" s="1">
        <v>-1</v>
      </c>
      <c r="G68" s="1">
        <v>542</v>
      </c>
      <c r="H68" s="1">
        <v>28.9</v>
      </c>
      <c r="I68" s="1">
        <v>0.28000000000000003</v>
      </c>
      <c r="J68" s="1">
        <v>0.437</v>
      </c>
      <c r="K68" s="1">
        <v>0.36099999999999999</v>
      </c>
      <c r="L68" s="1">
        <v>0.35899999999999999</v>
      </c>
      <c r="M68" s="1">
        <v>41.6</v>
      </c>
      <c r="N68" s="1">
        <v>18.399999999999999</v>
      </c>
      <c r="O68" s="1">
        <v>19.3</v>
      </c>
      <c r="P68" s="1">
        <v>70.5</v>
      </c>
      <c r="Q68" s="1">
        <v>0.124</v>
      </c>
      <c r="R68" s="1">
        <v>7</v>
      </c>
      <c r="S68" s="1" t="str" cm="1">
        <f t="array" ref="S68">_xlfn.IFS(R68&lt;6.5, "Short_Swing", R68&lt;=7.4, "Average_Swing", R68&gt;=7.5, "Long_Swing")</f>
        <v>Average_Swing</v>
      </c>
      <c r="T68" s="1">
        <v>34.799999999999997</v>
      </c>
      <c r="U68" s="1">
        <v>10.7</v>
      </c>
      <c r="V68" s="1" t="str" cm="1">
        <f t="array" ref="V68">_xlfn.IFS(U68&lt;6,"Flat",U68&lt;=14,"Average",U68&gt;14,"Steep")</f>
        <v>Average</v>
      </c>
      <c r="W68" s="1">
        <v>5.2</v>
      </c>
      <c r="X68" s="1">
        <v>27.5</v>
      </c>
      <c r="Y68" s="1">
        <v>47.3</v>
      </c>
    </row>
    <row r="69" spans="1:25" x14ac:dyDescent="0.3">
      <c r="A69" t="s">
        <v>182</v>
      </c>
      <c r="B69" t="s">
        <v>183</v>
      </c>
      <c r="C69" s="1">
        <v>624428</v>
      </c>
      <c r="D69" s="1" t="s">
        <v>184</v>
      </c>
      <c r="E69" s="1" t="s">
        <v>27</v>
      </c>
      <c r="F69" s="1">
        <v>-4</v>
      </c>
      <c r="G69" s="1">
        <v>664</v>
      </c>
      <c r="H69" s="1">
        <v>36.1</v>
      </c>
      <c r="I69" s="1">
        <v>0.247</v>
      </c>
      <c r="J69" s="1">
        <v>0.36099999999999999</v>
      </c>
      <c r="K69" s="1">
        <v>0.33400000000000002</v>
      </c>
      <c r="L69" s="1">
        <v>0.308</v>
      </c>
      <c r="M69" s="1">
        <v>26</v>
      </c>
      <c r="N69" s="1">
        <v>15.5</v>
      </c>
      <c r="O69" s="1">
        <v>14.1</v>
      </c>
      <c r="P69" s="1">
        <v>66.2</v>
      </c>
      <c r="Q69" s="1">
        <v>1.2999999999999999E-2</v>
      </c>
      <c r="R69" s="1">
        <v>6.6</v>
      </c>
      <c r="S69" s="1" t="str" cm="1">
        <f t="array" ref="S69">_xlfn.IFS(R69&lt;6.5, "Short_Swing", R69&lt;=7.4, "Average_Swing", R69&gt;=7.5, "Long_Swing")</f>
        <v>Average_Swing</v>
      </c>
      <c r="T69" s="1">
        <v>39.200000000000003</v>
      </c>
      <c r="U69" s="1">
        <v>11.4</v>
      </c>
      <c r="V69" s="1" t="str" cm="1">
        <f t="array" ref="V69">_xlfn.IFS(U69&lt;6,"Flat",U69&lt;=14,"Average",U69&gt;14,"Steep")</f>
        <v>Average</v>
      </c>
      <c r="W69" s="1">
        <v>3</v>
      </c>
      <c r="X69" s="1">
        <v>24</v>
      </c>
      <c r="Y69" s="1">
        <v>45.6</v>
      </c>
    </row>
    <row r="70" spans="1:25" x14ac:dyDescent="0.3">
      <c r="A70" t="s">
        <v>185</v>
      </c>
      <c r="B70" t="s">
        <v>186</v>
      </c>
      <c r="C70" s="1">
        <v>671289</v>
      </c>
      <c r="D70" s="1" t="s">
        <v>80</v>
      </c>
      <c r="E70" s="1" t="s">
        <v>26</v>
      </c>
      <c r="F70" s="1">
        <v>2</v>
      </c>
      <c r="G70" s="1">
        <v>374</v>
      </c>
      <c r="H70" s="1">
        <v>22.7</v>
      </c>
      <c r="I70" s="1">
        <v>0.30299999999999999</v>
      </c>
      <c r="J70" s="1">
        <v>0.4</v>
      </c>
      <c r="K70" s="1">
        <v>0.36799999999999999</v>
      </c>
      <c r="L70" s="1">
        <v>0.35399999999999998</v>
      </c>
      <c r="M70" s="1">
        <v>40.6</v>
      </c>
      <c r="N70" s="1">
        <v>4.5</v>
      </c>
      <c r="O70" s="1">
        <v>3.3</v>
      </c>
      <c r="P70" s="1">
        <v>70.900000000000006</v>
      </c>
      <c r="Q70" s="1">
        <v>0.125</v>
      </c>
      <c r="R70" s="1">
        <v>6.6</v>
      </c>
      <c r="S70" s="1" t="str" cm="1">
        <f t="array" ref="S70">_xlfn.IFS(R70&lt;6.5, "Short_Swing", R70&lt;=7.4, "Average_Swing", R70&gt;=7.5, "Long_Swing")</f>
        <v>Average_Swing</v>
      </c>
      <c r="T70" s="1">
        <v>35.6</v>
      </c>
      <c r="U70" s="1">
        <v>2.9</v>
      </c>
      <c r="V70" s="1" t="str" cm="1">
        <f t="array" ref="V70">_xlfn.IFS(U70&lt;6,"Flat",U70&lt;=14,"Average",U70&gt;14,"Steep")</f>
        <v>Flat</v>
      </c>
      <c r="W70" s="1">
        <v>0.5</v>
      </c>
      <c r="X70" s="1">
        <v>29.6</v>
      </c>
      <c r="Y70" s="1">
        <v>32.700000000000003</v>
      </c>
    </row>
    <row r="71" spans="1:25" x14ac:dyDescent="0.3">
      <c r="A71" t="s">
        <v>187</v>
      </c>
      <c r="B71" t="s">
        <v>186</v>
      </c>
      <c r="C71" s="1">
        <v>518692</v>
      </c>
      <c r="D71" s="1" t="s">
        <v>91</v>
      </c>
      <c r="E71" s="1" t="s">
        <v>27</v>
      </c>
      <c r="F71" s="1">
        <v>8</v>
      </c>
      <c r="G71" s="1">
        <v>761</v>
      </c>
      <c r="H71" s="1">
        <v>32</v>
      </c>
      <c r="I71" s="1">
        <v>0.28799999999999998</v>
      </c>
      <c r="J71" s="1">
        <v>0.53500000000000003</v>
      </c>
      <c r="K71" s="1">
        <v>0.39600000000000002</v>
      </c>
      <c r="L71" s="1">
        <v>0.379</v>
      </c>
      <c r="M71" s="1">
        <v>47.6</v>
      </c>
      <c r="N71" s="1">
        <v>21.9</v>
      </c>
      <c r="O71" s="1">
        <v>15.7</v>
      </c>
      <c r="P71" s="1">
        <v>69.900000000000006</v>
      </c>
      <c r="Q71" s="1">
        <v>8.2000000000000003E-2</v>
      </c>
      <c r="R71" s="1">
        <v>6.5</v>
      </c>
      <c r="S71" s="1" t="str" cm="1">
        <f t="array" ref="S71">_xlfn.IFS(R71&lt;6.5, "Short_Swing", R71&lt;=7.4, "Average_Swing", R71&gt;=7.5, "Long_Swing")</f>
        <v>Average_Swing</v>
      </c>
      <c r="T71" s="1">
        <v>43.1</v>
      </c>
      <c r="U71" s="1">
        <v>10.7</v>
      </c>
      <c r="V71" s="1" t="str" cm="1">
        <f t="array" ref="V71">_xlfn.IFS(U71&lt;6,"Flat",U71&lt;=14,"Average",U71&gt;14,"Steep")</f>
        <v>Average</v>
      </c>
      <c r="W71" s="1">
        <v>1</v>
      </c>
      <c r="X71" s="1">
        <v>27</v>
      </c>
      <c r="Y71" s="1">
        <v>46.4</v>
      </c>
    </row>
    <row r="72" spans="1:25" x14ac:dyDescent="0.3">
      <c r="A72" t="s">
        <v>188</v>
      </c>
      <c r="B72" t="s">
        <v>189</v>
      </c>
      <c r="C72" s="1">
        <v>686217</v>
      </c>
      <c r="D72" s="1" t="s">
        <v>130</v>
      </c>
      <c r="E72" s="1" t="s">
        <v>27</v>
      </c>
      <c r="F72" s="1">
        <v>3</v>
      </c>
      <c r="G72" s="1">
        <v>825</v>
      </c>
      <c r="H72" s="1">
        <v>35.700000000000003</v>
      </c>
      <c r="I72" s="1">
        <v>0.26900000000000002</v>
      </c>
      <c r="J72" s="1">
        <v>0.375</v>
      </c>
      <c r="K72" s="1">
        <v>0.36699999999999999</v>
      </c>
      <c r="L72" s="1">
        <v>0.33100000000000002</v>
      </c>
      <c r="M72" s="1">
        <v>27.5</v>
      </c>
      <c r="N72" s="1">
        <v>10.1</v>
      </c>
      <c r="O72" s="1">
        <v>10.199999999999999</v>
      </c>
      <c r="P72" s="1">
        <v>68.400000000000006</v>
      </c>
      <c r="Q72" s="1">
        <v>5.3999999999999999E-2</v>
      </c>
      <c r="R72" s="1">
        <v>6.8</v>
      </c>
      <c r="S72" s="1" t="str" cm="1">
        <f t="array" ref="S72">_xlfn.IFS(R72&lt;6.5, "Short_Swing", R72&lt;=7.4, "Average_Swing", R72&gt;=7.5, "Long_Swing")</f>
        <v>Average_Swing</v>
      </c>
      <c r="T72" s="1">
        <v>28.1</v>
      </c>
      <c r="U72" s="1">
        <v>8.6</v>
      </c>
      <c r="V72" s="1" t="str" cm="1">
        <f t="array" ref="V72">_xlfn.IFS(U72&lt;6,"Flat",U72&lt;=14,"Average",U72&gt;14,"Steep")</f>
        <v>Average</v>
      </c>
      <c r="W72" s="1">
        <v>-1.8</v>
      </c>
      <c r="X72" s="1">
        <v>27.8</v>
      </c>
      <c r="Y72" s="1">
        <v>51.9</v>
      </c>
    </row>
    <row r="73" spans="1:25" x14ac:dyDescent="0.3">
      <c r="A73" t="s">
        <v>190</v>
      </c>
      <c r="B73" t="s">
        <v>191</v>
      </c>
      <c r="C73" s="1">
        <v>670770</v>
      </c>
      <c r="D73" s="1" t="s">
        <v>154</v>
      </c>
      <c r="E73" s="1" t="s">
        <v>26</v>
      </c>
      <c r="F73" s="1">
        <v>-1</v>
      </c>
      <c r="G73" s="1">
        <v>433</v>
      </c>
      <c r="H73" s="1">
        <v>16.399999999999999</v>
      </c>
      <c r="I73" s="1">
        <v>0.255</v>
      </c>
      <c r="J73" s="1">
        <v>0.32400000000000001</v>
      </c>
      <c r="K73" s="1">
        <v>0.374</v>
      </c>
      <c r="L73" s="1">
        <v>0.314</v>
      </c>
      <c r="M73" s="1">
        <v>30.8</v>
      </c>
      <c r="N73" s="1">
        <v>5.3</v>
      </c>
      <c r="O73" s="1">
        <v>4.5999999999999996</v>
      </c>
      <c r="P73" s="1">
        <v>68.900000000000006</v>
      </c>
      <c r="Q73" s="1">
        <v>3.2000000000000001E-2</v>
      </c>
      <c r="R73" s="1">
        <v>6.4</v>
      </c>
      <c r="S73" s="1" t="str" cm="1">
        <f t="array" ref="S73">_xlfn.IFS(R73&lt;6.5, "Short_Swing", R73&lt;=7.4, "Average_Swing", R73&gt;=7.5, "Long_Swing")</f>
        <v>Short_Swing</v>
      </c>
      <c r="T73" s="1">
        <v>28.3</v>
      </c>
      <c r="U73" s="1">
        <v>9.4</v>
      </c>
      <c r="V73" s="1" t="str" cm="1">
        <f t="array" ref="V73">_xlfn.IFS(U73&lt;6,"Flat",U73&lt;=14,"Average",U73&gt;14,"Steep")</f>
        <v>Average</v>
      </c>
      <c r="W73" s="1">
        <v>-7.8</v>
      </c>
      <c r="X73" s="1">
        <v>40.4</v>
      </c>
      <c r="Y73" s="1">
        <v>59.6</v>
      </c>
    </row>
    <row r="74" spans="1:25" x14ac:dyDescent="0.3">
      <c r="A74" t="s">
        <v>192</v>
      </c>
      <c r="B74" t="s">
        <v>193</v>
      </c>
      <c r="C74" s="1">
        <v>666969</v>
      </c>
      <c r="D74" s="1" t="s">
        <v>102</v>
      </c>
      <c r="E74" s="1" t="s">
        <v>26</v>
      </c>
      <c r="F74" s="1">
        <v>-4</v>
      </c>
      <c r="G74" s="1">
        <v>373</v>
      </c>
      <c r="H74" s="1">
        <v>17.3</v>
      </c>
      <c r="I74" s="1">
        <v>0.29899999999999999</v>
      </c>
      <c r="J74" s="1">
        <v>0.54200000000000004</v>
      </c>
      <c r="K74" s="1">
        <v>0.33300000000000002</v>
      </c>
      <c r="L74" s="1">
        <v>0.38100000000000001</v>
      </c>
      <c r="M74" s="1">
        <v>55.6</v>
      </c>
      <c r="N74" s="1">
        <v>19.5</v>
      </c>
      <c r="O74" s="1">
        <v>8.3000000000000007</v>
      </c>
      <c r="P74" s="1">
        <v>71.8</v>
      </c>
      <c r="Q74" s="1">
        <v>0.224</v>
      </c>
      <c r="R74" s="1">
        <v>7.3</v>
      </c>
      <c r="S74" s="1" t="str" cm="1">
        <f t="array" ref="S74">_xlfn.IFS(R74&lt;6.5, "Short_Swing", R74&lt;=7.4, "Average_Swing", R74&gt;=7.5, "Long_Swing")</f>
        <v>Average_Swing</v>
      </c>
      <c r="T74" s="1">
        <v>28</v>
      </c>
      <c r="U74" s="1">
        <v>8.8000000000000007</v>
      </c>
      <c r="V74" s="1" t="str" cm="1">
        <f t="array" ref="V74">_xlfn.IFS(U74&lt;6,"Flat",U74&lt;=14,"Average",U74&gt;14,"Steep")</f>
        <v>Average</v>
      </c>
      <c r="W74" s="1">
        <v>-0.5</v>
      </c>
      <c r="X74" s="1">
        <v>31.3</v>
      </c>
      <c r="Y74" s="1">
        <v>62.5</v>
      </c>
    </row>
    <row r="75" spans="1:25" x14ac:dyDescent="0.3">
      <c r="A75" t="s">
        <v>60</v>
      </c>
      <c r="B75" t="s">
        <v>194</v>
      </c>
      <c r="C75" s="1">
        <v>671277</v>
      </c>
      <c r="D75" s="1" t="s">
        <v>25</v>
      </c>
      <c r="E75" s="1" t="s">
        <v>26</v>
      </c>
      <c r="F75" s="1">
        <v>-4</v>
      </c>
      <c r="G75" s="1">
        <v>279</v>
      </c>
      <c r="H75" s="1">
        <v>15.2</v>
      </c>
      <c r="I75" s="1">
        <v>0.26300000000000001</v>
      </c>
      <c r="J75" s="1">
        <v>0.433</v>
      </c>
      <c r="K75" s="1">
        <v>0.30199999999999999</v>
      </c>
      <c r="L75" s="1">
        <v>0.316</v>
      </c>
      <c r="M75" s="1">
        <v>49.3</v>
      </c>
      <c r="N75" s="1">
        <v>12.4</v>
      </c>
      <c r="O75" s="1">
        <v>9.1</v>
      </c>
      <c r="P75" s="1">
        <v>72.3</v>
      </c>
      <c r="Q75" s="1">
        <v>0.23300000000000001</v>
      </c>
      <c r="R75" s="1">
        <v>7</v>
      </c>
      <c r="S75" s="1" t="str" cm="1">
        <f t="array" ref="S75">_xlfn.IFS(R75&lt;6.5, "Short_Swing", R75&lt;=7.4, "Average_Swing", R75&gt;=7.5, "Long_Swing")</f>
        <v>Average_Swing</v>
      </c>
      <c r="T75" s="1">
        <v>28.6</v>
      </c>
      <c r="U75" s="1">
        <v>10.7</v>
      </c>
      <c r="V75" s="1" t="str" cm="1">
        <f t="array" ref="V75">_xlfn.IFS(U75&lt;6,"Flat",U75&lt;=14,"Average",U75&gt;14,"Steep")</f>
        <v>Average</v>
      </c>
      <c r="W75" s="1">
        <v>-2.6</v>
      </c>
      <c r="X75" s="1">
        <v>33.4</v>
      </c>
      <c r="Y75" s="1">
        <v>62.4</v>
      </c>
    </row>
    <row r="76" spans="1:25" x14ac:dyDescent="0.3">
      <c r="A76" t="s">
        <v>195</v>
      </c>
      <c r="B76" t="s">
        <v>196</v>
      </c>
      <c r="C76" s="1">
        <v>672580</v>
      </c>
      <c r="D76" s="1" t="s">
        <v>184</v>
      </c>
      <c r="E76" s="1" t="s">
        <v>27</v>
      </c>
      <c r="F76" s="1">
        <v>-2</v>
      </c>
      <c r="G76" s="1">
        <v>744</v>
      </c>
      <c r="H76" s="1">
        <v>29.6</v>
      </c>
      <c r="I76" s="1">
        <v>0.27300000000000002</v>
      </c>
      <c r="J76" s="1">
        <v>0.44</v>
      </c>
      <c r="K76" s="1">
        <v>0.34699999999999998</v>
      </c>
      <c r="L76" s="1">
        <v>0.35599999999999998</v>
      </c>
      <c r="M76" s="1">
        <v>55.6</v>
      </c>
      <c r="N76" s="1">
        <v>15.4</v>
      </c>
      <c r="O76" s="1">
        <v>21.2</v>
      </c>
      <c r="P76" s="1">
        <v>71.900000000000006</v>
      </c>
      <c r="Q76" s="1">
        <v>0.156</v>
      </c>
      <c r="R76" s="1">
        <v>6.9</v>
      </c>
      <c r="S76" s="1" t="str" cm="1">
        <f t="array" ref="S76">_xlfn.IFS(R76&lt;6.5, "Short_Swing", R76&lt;=7.4, "Average_Swing", R76&gt;=7.5, "Long_Swing")</f>
        <v>Average_Swing</v>
      </c>
      <c r="T76" s="1">
        <v>27.1</v>
      </c>
      <c r="U76" s="1">
        <v>4.5</v>
      </c>
      <c r="V76" s="1" t="str" cm="1">
        <f t="array" ref="V76">_xlfn.IFS(U76&lt;6,"Flat",U76&lt;=14,"Average",U76&gt;14,"Steep")</f>
        <v>Flat</v>
      </c>
      <c r="W76" s="1">
        <v>0.5</v>
      </c>
      <c r="X76" s="1">
        <v>33.9</v>
      </c>
      <c r="Y76" s="1">
        <v>44.2</v>
      </c>
    </row>
    <row r="77" spans="1:25" x14ac:dyDescent="0.3">
      <c r="A77" t="s">
        <v>197</v>
      </c>
      <c r="B77" t="s">
        <v>198</v>
      </c>
      <c r="C77" s="1">
        <v>665926</v>
      </c>
      <c r="D77" s="1" t="s">
        <v>75</v>
      </c>
      <c r="E77" s="1" t="s">
        <v>27</v>
      </c>
      <c r="F77" s="1">
        <v>-4</v>
      </c>
      <c r="G77" s="1">
        <v>518</v>
      </c>
      <c r="H77" s="1">
        <v>35.700000000000003</v>
      </c>
      <c r="I77" s="1">
        <v>0.23699999999999999</v>
      </c>
      <c r="J77" s="1">
        <v>0.376</v>
      </c>
      <c r="K77" s="1">
        <v>0.29699999999999999</v>
      </c>
      <c r="L77" s="1">
        <v>0.307</v>
      </c>
      <c r="M77" s="1">
        <v>31.6</v>
      </c>
      <c r="N77" s="1">
        <v>24.7</v>
      </c>
      <c r="O77" s="1">
        <v>22.2</v>
      </c>
      <c r="P77" s="1">
        <v>69</v>
      </c>
      <c r="Q77" s="1">
        <v>5.7000000000000002E-2</v>
      </c>
      <c r="R77" s="1">
        <v>6.7</v>
      </c>
      <c r="S77" s="1" t="str" cm="1">
        <f t="array" ref="S77">_xlfn.IFS(R77&lt;6.5, "Short_Swing", R77&lt;=7.4, "Average_Swing", R77&gt;=7.5, "Long_Swing")</f>
        <v>Average_Swing</v>
      </c>
      <c r="T77" s="1">
        <v>31.4</v>
      </c>
      <c r="U77" s="1">
        <v>8.3000000000000007</v>
      </c>
      <c r="V77" s="1" t="str" cm="1">
        <f t="array" ref="V77">_xlfn.IFS(U77&lt;6,"Flat",U77&lt;=14,"Average",U77&gt;14,"Steep")</f>
        <v>Average</v>
      </c>
      <c r="W77" s="1">
        <v>3</v>
      </c>
      <c r="X77" s="1">
        <v>29.2</v>
      </c>
      <c r="Y77" s="1">
        <v>48.6</v>
      </c>
    </row>
    <row r="78" spans="1:25" x14ac:dyDescent="0.3">
      <c r="A78" t="s">
        <v>199</v>
      </c>
      <c r="B78" t="s">
        <v>200</v>
      </c>
      <c r="C78" s="1">
        <v>502671</v>
      </c>
      <c r="D78" s="1" t="s">
        <v>85</v>
      </c>
      <c r="E78" s="1" t="s">
        <v>26</v>
      </c>
      <c r="F78" s="1">
        <v>-6</v>
      </c>
      <c r="G78" s="1">
        <v>340</v>
      </c>
      <c r="H78" s="1">
        <v>16.3</v>
      </c>
      <c r="I78" s="1">
        <v>0.26200000000000001</v>
      </c>
      <c r="J78" s="1">
        <v>0.47699999999999998</v>
      </c>
      <c r="K78" s="1">
        <v>0.315</v>
      </c>
      <c r="L78" s="1">
        <v>0.33300000000000002</v>
      </c>
      <c r="M78" s="1">
        <v>45.7</v>
      </c>
      <c r="N78" s="1">
        <v>17.100000000000001</v>
      </c>
      <c r="O78" s="1">
        <v>15.5</v>
      </c>
      <c r="P78" s="1">
        <v>72.7</v>
      </c>
      <c r="Q78" s="1">
        <v>0.223</v>
      </c>
      <c r="R78" s="1">
        <v>7.3</v>
      </c>
      <c r="S78" s="1" t="str" cm="1">
        <f t="array" ref="S78">_xlfn.IFS(R78&lt;6.5, "Short_Swing", R78&lt;=7.4, "Average_Swing", R78&gt;=7.5, "Long_Swing")</f>
        <v>Average_Swing</v>
      </c>
      <c r="T78" s="1">
        <v>31.9</v>
      </c>
      <c r="U78" s="1">
        <v>9.6999999999999993</v>
      </c>
      <c r="V78" s="1" t="str" cm="1">
        <f t="array" ref="V78">_xlfn.IFS(U78&lt;6,"Flat",U78&lt;=14,"Average",U78&gt;14,"Steep")</f>
        <v>Average</v>
      </c>
      <c r="W78" s="1">
        <v>2.4</v>
      </c>
      <c r="X78" s="1">
        <v>21</v>
      </c>
      <c r="Y78" s="1">
        <v>51.4</v>
      </c>
    </row>
    <row r="79" spans="1:25" x14ac:dyDescent="0.3">
      <c r="A79" t="s">
        <v>120</v>
      </c>
      <c r="B79" t="s">
        <v>201</v>
      </c>
      <c r="C79" s="1">
        <v>693304</v>
      </c>
      <c r="D79" s="1" t="s">
        <v>149</v>
      </c>
      <c r="E79" s="1" t="s">
        <v>26</v>
      </c>
      <c r="F79" s="1">
        <v>-4</v>
      </c>
      <c r="G79" s="1">
        <v>278</v>
      </c>
      <c r="H79" s="1">
        <v>19.8</v>
      </c>
      <c r="I79" s="1">
        <v>0.25600000000000001</v>
      </c>
      <c r="J79" s="1">
        <v>0.34200000000000003</v>
      </c>
      <c r="K79" s="1">
        <v>0.312</v>
      </c>
      <c r="L79" s="1">
        <v>0.28399999999999997</v>
      </c>
      <c r="M79" s="1">
        <v>46.7</v>
      </c>
      <c r="N79" s="1">
        <v>13.6</v>
      </c>
      <c r="O79" s="1">
        <v>7</v>
      </c>
      <c r="P79" s="1">
        <v>70.8</v>
      </c>
      <c r="Q79" s="1">
        <v>0.159</v>
      </c>
      <c r="R79" s="1">
        <v>7.1</v>
      </c>
      <c r="S79" s="1" t="str" cm="1">
        <f t="array" ref="S79">_xlfn.IFS(R79&lt;6.5, "Short_Swing", R79&lt;=7.4, "Average_Swing", R79&gt;=7.5, "Long_Swing")</f>
        <v>Average_Swing</v>
      </c>
      <c r="T79" s="1">
        <v>33.200000000000003</v>
      </c>
      <c r="U79" s="1">
        <v>8.9</v>
      </c>
      <c r="V79" s="1" t="str" cm="1">
        <f t="array" ref="V79">_xlfn.IFS(U79&lt;6,"Flat",U79&lt;=14,"Average",U79&gt;14,"Steep")</f>
        <v>Average</v>
      </c>
      <c r="W79" s="1">
        <v>-0.1</v>
      </c>
      <c r="X79" s="1">
        <v>30</v>
      </c>
      <c r="Y79" s="1">
        <v>53.5</v>
      </c>
    </row>
    <row r="80" spans="1:25" x14ac:dyDescent="0.3">
      <c r="A80" t="s">
        <v>202</v>
      </c>
      <c r="B80" t="s">
        <v>203</v>
      </c>
      <c r="C80" s="1">
        <v>696100</v>
      </c>
      <c r="D80" s="1" t="s">
        <v>80</v>
      </c>
      <c r="E80" s="1" t="s">
        <v>26</v>
      </c>
      <c r="F80" s="1">
        <v>2</v>
      </c>
      <c r="G80" s="1">
        <v>314</v>
      </c>
      <c r="H80" s="1">
        <v>14.6</v>
      </c>
      <c r="I80" s="1">
        <v>0.30399999999999999</v>
      </c>
      <c r="J80" s="1">
        <v>0.50900000000000001</v>
      </c>
      <c r="K80" s="1">
        <v>0.40400000000000003</v>
      </c>
      <c r="L80" s="1">
        <v>0.36499999999999999</v>
      </c>
      <c r="M80" s="1">
        <v>47.8</v>
      </c>
      <c r="N80" s="1">
        <v>14.6</v>
      </c>
      <c r="O80" s="1">
        <v>8.9</v>
      </c>
      <c r="P80" s="1">
        <v>74</v>
      </c>
      <c r="Q80" s="1">
        <v>0.37</v>
      </c>
      <c r="R80" s="1">
        <v>6.6</v>
      </c>
      <c r="S80" s="1" t="str" cm="1">
        <f t="array" ref="S80">_xlfn.IFS(R80&lt;6.5, "Short_Swing", R80&lt;=7.4, "Average_Swing", R80&gt;=7.5, "Long_Swing")</f>
        <v>Average_Swing</v>
      </c>
      <c r="T80" s="1">
        <v>25.2</v>
      </c>
      <c r="U80" s="1">
        <v>13.4</v>
      </c>
      <c r="V80" s="1" t="str" cm="1">
        <f t="array" ref="V80">_xlfn.IFS(U80&lt;6,"Flat",U80&lt;=14,"Average",U80&gt;14,"Steep")</f>
        <v>Average</v>
      </c>
      <c r="W80" s="1">
        <v>-7.3</v>
      </c>
      <c r="X80" s="1">
        <v>38.799999999999997</v>
      </c>
      <c r="Y80" s="1">
        <v>61.1</v>
      </c>
    </row>
    <row r="81" spans="1:25" x14ac:dyDescent="0.3">
      <c r="A81" t="s">
        <v>51</v>
      </c>
      <c r="B81" t="s">
        <v>204</v>
      </c>
      <c r="C81" s="1">
        <v>669357</v>
      </c>
      <c r="D81" s="1" t="s">
        <v>53</v>
      </c>
      <c r="E81" s="1" t="s">
        <v>27</v>
      </c>
      <c r="F81" s="1">
        <v>-3</v>
      </c>
      <c r="G81" s="1">
        <v>665</v>
      </c>
      <c r="H81" s="1">
        <v>40.200000000000003</v>
      </c>
      <c r="I81" s="1">
        <v>0.20200000000000001</v>
      </c>
      <c r="J81" s="1">
        <v>0.42099999999999999</v>
      </c>
      <c r="K81" s="1">
        <v>0.29099999999999998</v>
      </c>
      <c r="L81" s="1">
        <v>0.33100000000000002</v>
      </c>
      <c r="M81" s="1">
        <v>48.6</v>
      </c>
      <c r="N81" s="1">
        <v>32.5</v>
      </c>
      <c r="O81" s="1">
        <v>33.6</v>
      </c>
      <c r="P81" s="1">
        <v>72.5</v>
      </c>
      <c r="Q81" s="1">
        <v>0.219</v>
      </c>
      <c r="R81" s="1">
        <v>7.1</v>
      </c>
      <c r="S81" s="1" t="str" cm="1">
        <f t="array" ref="S81">_xlfn.IFS(R81&lt;6.5, "Short_Swing", R81&lt;=7.4, "Average_Swing", R81&gt;=7.5, "Long_Swing")</f>
        <v>Average_Swing</v>
      </c>
      <c r="T81" s="1">
        <v>34.1</v>
      </c>
      <c r="U81" s="1">
        <v>14.8</v>
      </c>
      <c r="V81" s="1" t="str" cm="1">
        <f t="array" ref="V81">_xlfn.IFS(U81&lt;6,"Flat",U81&lt;=14,"Average",U81&gt;14,"Steep")</f>
        <v>Steep</v>
      </c>
      <c r="W81" s="1">
        <v>-1.8</v>
      </c>
      <c r="X81" s="1">
        <v>33.1</v>
      </c>
      <c r="Y81" s="1">
        <v>50.5</v>
      </c>
    </row>
    <row r="82" spans="1:25" x14ac:dyDescent="0.3">
      <c r="A82" t="s">
        <v>205</v>
      </c>
      <c r="B82" t="s">
        <v>206</v>
      </c>
      <c r="C82" s="1">
        <v>682985</v>
      </c>
      <c r="D82" s="1" t="s">
        <v>68</v>
      </c>
      <c r="E82" s="1" t="s">
        <v>26</v>
      </c>
      <c r="F82" s="1">
        <v>-2</v>
      </c>
      <c r="G82" s="1">
        <v>431</v>
      </c>
      <c r="H82" s="1">
        <v>15.9</v>
      </c>
      <c r="I82" s="1">
        <v>0.253</v>
      </c>
      <c r="J82" s="1">
        <v>0.40799999999999997</v>
      </c>
      <c r="K82" s="1">
        <v>0.33600000000000002</v>
      </c>
      <c r="L82" s="1">
        <v>0.316</v>
      </c>
      <c r="M82" s="1">
        <v>40</v>
      </c>
      <c r="N82" s="1">
        <v>16.100000000000001</v>
      </c>
      <c r="O82" s="1">
        <v>15.2</v>
      </c>
      <c r="P82" s="1">
        <v>75.400000000000006</v>
      </c>
      <c r="Q82" s="1">
        <v>0.55700000000000005</v>
      </c>
      <c r="R82" s="1">
        <v>6.9</v>
      </c>
      <c r="S82" s="1" t="str" cm="1">
        <f t="array" ref="S82">_xlfn.IFS(R82&lt;6.5, "Short_Swing", R82&lt;=7.4, "Average_Swing", R82&gt;=7.5, "Long_Swing")</f>
        <v>Average_Swing</v>
      </c>
      <c r="T82" s="1">
        <v>44.6</v>
      </c>
      <c r="U82" s="1">
        <v>13.9</v>
      </c>
      <c r="V82" s="1" t="str" cm="1">
        <f t="array" ref="V82">_xlfn.IFS(U82&lt;6,"Flat",U82&lt;=14,"Average",U82&gt;14,"Steep")</f>
        <v>Average</v>
      </c>
      <c r="W82" s="1">
        <v>1.2</v>
      </c>
      <c r="X82" s="1">
        <v>32</v>
      </c>
      <c r="Y82" s="1">
        <v>43.6</v>
      </c>
    </row>
    <row r="83" spans="1:25" x14ac:dyDescent="0.3">
      <c r="A83" t="s">
        <v>207</v>
      </c>
      <c r="B83" t="s">
        <v>208</v>
      </c>
      <c r="C83" s="1">
        <v>663757</v>
      </c>
      <c r="D83" s="1" t="s">
        <v>85</v>
      </c>
      <c r="E83" s="1" t="s">
        <v>26</v>
      </c>
      <c r="F83" s="1">
        <v>1</v>
      </c>
      <c r="G83" s="1">
        <v>395</v>
      </c>
      <c r="H83" s="1">
        <v>16.5</v>
      </c>
      <c r="I83" s="1">
        <v>0.32600000000000001</v>
      </c>
      <c r="J83" s="1">
        <v>0.55400000000000005</v>
      </c>
      <c r="K83" s="1">
        <v>0.36699999999999999</v>
      </c>
      <c r="L83" s="1">
        <v>0.43099999999999999</v>
      </c>
      <c r="M83" s="1">
        <v>49.3</v>
      </c>
      <c r="N83" s="1">
        <v>12.8</v>
      </c>
      <c r="O83" s="1">
        <v>15.5</v>
      </c>
      <c r="P83" s="1">
        <v>71.3</v>
      </c>
      <c r="Q83" s="1">
        <v>0.121</v>
      </c>
      <c r="R83" s="1">
        <v>7.3</v>
      </c>
      <c r="S83" s="1" t="str" cm="1">
        <f t="array" ref="S83">_xlfn.IFS(R83&lt;6.5, "Short_Swing", R83&lt;=7.4, "Average_Swing", R83&gt;=7.5, "Long_Swing")</f>
        <v>Average_Swing</v>
      </c>
      <c r="T83" s="1">
        <v>30.9</v>
      </c>
      <c r="U83" s="1">
        <v>16.7</v>
      </c>
      <c r="V83" s="1" t="str" cm="1">
        <f t="array" ref="V83">_xlfn.IFS(U83&lt;6,"Flat",U83&lt;=14,"Average",U83&gt;14,"Steep")</f>
        <v>Steep</v>
      </c>
      <c r="W83" s="1">
        <v>1.8</v>
      </c>
      <c r="X83" s="1">
        <v>24.1</v>
      </c>
      <c r="Y83" s="1">
        <v>57.8</v>
      </c>
    </row>
    <row r="84" spans="1:25" x14ac:dyDescent="0.3">
      <c r="A84" t="s">
        <v>209</v>
      </c>
      <c r="B84" t="s">
        <v>210</v>
      </c>
      <c r="C84" s="1">
        <v>665489</v>
      </c>
      <c r="D84" s="1" t="s">
        <v>75</v>
      </c>
      <c r="E84" s="1" t="s">
        <v>27</v>
      </c>
      <c r="F84" s="1">
        <v>11</v>
      </c>
      <c r="G84" s="1">
        <v>679</v>
      </c>
      <c r="H84" s="1">
        <v>27.1</v>
      </c>
      <c r="I84" s="1">
        <v>0.32900000000000001</v>
      </c>
      <c r="J84" s="1">
        <v>0.56000000000000005</v>
      </c>
      <c r="K84" s="1">
        <v>0.42799999999999999</v>
      </c>
      <c r="L84" s="1">
        <v>0.432</v>
      </c>
      <c r="M84" s="1">
        <v>55.3</v>
      </c>
      <c r="N84" s="1">
        <v>18.8</v>
      </c>
      <c r="O84" s="1">
        <v>14.4</v>
      </c>
      <c r="P84" s="1">
        <v>76.099999999999994</v>
      </c>
      <c r="Q84" s="1">
        <v>0.623</v>
      </c>
      <c r="R84" s="1">
        <v>7.3</v>
      </c>
      <c r="S84" s="1" t="str" cm="1">
        <f t="array" ref="S84">_xlfn.IFS(R84&lt;6.5, "Short_Swing", R84&lt;=7.4, "Average_Swing", R84&gt;=7.5, "Long_Swing")</f>
        <v>Average_Swing</v>
      </c>
      <c r="T84" s="1">
        <v>27.4</v>
      </c>
      <c r="U84" s="1">
        <v>1.2</v>
      </c>
      <c r="V84" s="1" t="str" cm="1">
        <f t="array" ref="V84">_xlfn.IFS(U84&lt;6,"Flat",U84&lt;=14,"Average",U84&gt;14,"Steep")</f>
        <v>Flat</v>
      </c>
      <c r="W84" s="1">
        <v>-4.4000000000000004</v>
      </c>
      <c r="X84" s="1">
        <v>34.4</v>
      </c>
      <c r="Y84" s="1">
        <v>30.6</v>
      </c>
    </row>
    <row r="85" spans="1:25" x14ac:dyDescent="0.3">
      <c r="A85" t="s">
        <v>211</v>
      </c>
      <c r="B85" t="s">
        <v>212</v>
      </c>
      <c r="C85" s="1">
        <v>666971</v>
      </c>
      <c r="D85" s="1" t="s">
        <v>119</v>
      </c>
      <c r="E85" s="1" t="s">
        <v>27</v>
      </c>
      <c r="F85" s="1">
        <v>-2</v>
      </c>
      <c r="G85" s="1">
        <v>672</v>
      </c>
      <c r="H85" s="1">
        <v>33.700000000000003</v>
      </c>
      <c r="I85" s="1">
        <v>0.246</v>
      </c>
      <c r="J85" s="1">
        <v>0.435</v>
      </c>
      <c r="K85" s="1">
        <v>0.33300000000000002</v>
      </c>
      <c r="L85" s="1">
        <v>0.32600000000000001</v>
      </c>
      <c r="M85" s="1">
        <v>42.9</v>
      </c>
      <c r="N85" s="1">
        <v>10.7</v>
      </c>
      <c r="O85" s="1">
        <v>10.3</v>
      </c>
      <c r="P85" s="1">
        <v>70.400000000000006</v>
      </c>
      <c r="Q85" s="1">
        <v>9.5000000000000001E-2</v>
      </c>
      <c r="R85" s="1">
        <v>7.1</v>
      </c>
      <c r="S85" s="1" t="str" cm="1">
        <f t="array" ref="S85">_xlfn.IFS(R85&lt;6.5, "Short_Swing", R85&lt;=7.4, "Average_Swing", R85&gt;=7.5, "Long_Swing")</f>
        <v>Average_Swing</v>
      </c>
      <c r="T85" s="1">
        <v>36.9</v>
      </c>
      <c r="U85" s="1">
        <v>10.5</v>
      </c>
      <c r="V85" s="1" t="str" cm="1">
        <f t="array" ref="V85">_xlfn.IFS(U85&lt;6,"Flat",U85&lt;=14,"Average",U85&gt;14,"Steep")</f>
        <v>Average</v>
      </c>
      <c r="W85" s="1">
        <v>-6</v>
      </c>
      <c r="X85" s="1">
        <v>31.1</v>
      </c>
      <c r="Y85" s="1">
        <v>50.5</v>
      </c>
    </row>
    <row r="86" spans="1:25" x14ac:dyDescent="0.3">
      <c r="A86" t="s">
        <v>213</v>
      </c>
      <c r="B86" t="s">
        <v>214</v>
      </c>
      <c r="C86" s="1">
        <v>664023</v>
      </c>
      <c r="D86" s="1" t="s">
        <v>106</v>
      </c>
      <c r="E86" s="1" t="s">
        <v>27</v>
      </c>
      <c r="F86" s="1">
        <v>-3</v>
      </c>
      <c r="G86" s="1">
        <v>1078</v>
      </c>
      <c r="H86" s="1">
        <v>39.700000000000003</v>
      </c>
      <c r="I86" s="1">
        <v>0.23799999999999999</v>
      </c>
      <c r="J86" s="1">
        <v>0.435</v>
      </c>
      <c r="K86" s="1">
        <v>0.31900000000000001</v>
      </c>
      <c r="L86" s="1">
        <v>0.35899999999999999</v>
      </c>
      <c r="M86" s="1">
        <v>50.4</v>
      </c>
      <c r="N86" s="1">
        <v>19.899999999999999</v>
      </c>
      <c r="O86" s="1">
        <v>24.8</v>
      </c>
      <c r="P86" s="1">
        <v>71.400000000000006</v>
      </c>
      <c r="Q86" s="1">
        <v>0.16500000000000001</v>
      </c>
      <c r="R86" s="1">
        <v>6.5</v>
      </c>
      <c r="S86" s="1" t="str" cm="1">
        <f t="array" ref="S86">_xlfn.IFS(R86&lt;6.5, "Short_Swing", R86&lt;=7.4, "Average_Swing", R86&gt;=7.5, "Long_Swing")</f>
        <v>Average_Swing</v>
      </c>
      <c r="T86" s="1">
        <v>32.700000000000003</v>
      </c>
      <c r="U86" s="1">
        <v>10.3</v>
      </c>
      <c r="V86" s="1" t="str" cm="1">
        <f t="array" ref="V86">_xlfn.IFS(U86&lt;6,"Flat",U86&lt;=14,"Average",U86&gt;14,"Steep")</f>
        <v>Average</v>
      </c>
      <c r="W86" s="1">
        <v>-5.5</v>
      </c>
      <c r="X86" s="1">
        <v>34</v>
      </c>
      <c r="Y86" s="1">
        <v>46.4</v>
      </c>
    </row>
    <row r="87" spans="1:25" x14ac:dyDescent="0.3">
      <c r="A87" t="s">
        <v>215</v>
      </c>
      <c r="B87" t="s">
        <v>216</v>
      </c>
      <c r="C87" s="1">
        <v>547180</v>
      </c>
      <c r="D87" s="1" t="s">
        <v>65</v>
      </c>
      <c r="E87" s="1" t="s">
        <v>26</v>
      </c>
      <c r="F87" s="1">
        <v>-4</v>
      </c>
      <c r="G87" s="1">
        <v>283</v>
      </c>
      <c r="H87" s="1">
        <v>13</v>
      </c>
      <c r="I87" s="1">
        <v>0.28399999999999997</v>
      </c>
      <c r="J87" s="1">
        <v>0.41</v>
      </c>
      <c r="K87" s="1">
        <v>0.35</v>
      </c>
      <c r="L87" s="1">
        <v>0.373</v>
      </c>
      <c r="M87" s="1">
        <v>51.6</v>
      </c>
      <c r="N87" s="1">
        <v>14.5</v>
      </c>
      <c r="O87" s="1">
        <v>10.3</v>
      </c>
      <c r="P87" s="1">
        <v>74</v>
      </c>
      <c r="Q87" s="1">
        <v>0.439</v>
      </c>
      <c r="R87" s="1">
        <v>6.7</v>
      </c>
      <c r="S87" s="1" t="str" cm="1">
        <f t="array" ref="S87">_xlfn.IFS(R87&lt;6.5, "Short_Swing", R87&lt;=7.4, "Average_Swing", R87&gt;=7.5, "Long_Swing")</f>
        <v>Average_Swing</v>
      </c>
      <c r="T87" s="1">
        <v>35.5</v>
      </c>
      <c r="U87" s="1">
        <v>11.6</v>
      </c>
      <c r="V87" s="1" t="str" cm="1">
        <f t="array" ref="V87">_xlfn.IFS(U87&lt;6,"Flat",U87&lt;=14,"Average",U87&gt;14,"Steep")</f>
        <v>Average</v>
      </c>
      <c r="W87" s="1">
        <v>-2.2000000000000002</v>
      </c>
      <c r="X87" s="1">
        <v>33.200000000000003</v>
      </c>
      <c r="Y87" s="1">
        <v>46.2</v>
      </c>
    </row>
    <row r="88" spans="1:25" x14ac:dyDescent="0.3">
      <c r="A88" t="s">
        <v>104</v>
      </c>
      <c r="B88" t="s">
        <v>217</v>
      </c>
      <c r="C88" s="1">
        <v>671739</v>
      </c>
      <c r="D88" s="1" t="s">
        <v>33</v>
      </c>
      <c r="E88" s="1" t="s">
        <v>26</v>
      </c>
      <c r="F88" s="1">
        <v>-17</v>
      </c>
      <c r="G88" s="1">
        <v>453</v>
      </c>
      <c r="H88" s="1">
        <v>20.9</v>
      </c>
      <c r="I88" s="1">
        <v>0.26700000000000002</v>
      </c>
      <c r="J88" s="1">
        <v>0.36199999999999999</v>
      </c>
      <c r="K88" s="1">
        <v>0.24199999999999999</v>
      </c>
      <c r="L88" s="1">
        <v>0.30099999999999999</v>
      </c>
      <c r="M88" s="1">
        <v>49.5</v>
      </c>
      <c r="N88" s="1">
        <v>14.3</v>
      </c>
      <c r="O88" s="1">
        <v>7.5</v>
      </c>
      <c r="P88" s="1">
        <v>73.900000000000006</v>
      </c>
      <c r="Q88" s="1">
        <v>0.35699999999999998</v>
      </c>
      <c r="R88" s="1">
        <v>7.5</v>
      </c>
      <c r="S88" s="1" t="str" cm="1">
        <f t="array" ref="S88">_xlfn.IFS(R88&lt;6.5, "Short_Swing", R88&lt;=7.4, "Average_Swing", R88&gt;=7.5, "Long_Swing")</f>
        <v>Long_Swing</v>
      </c>
      <c r="T88" s="1">
        <v>30.8</v>
      </c>
      <c r="U88" s="1">
        <v>6.9</v>
      </c>
      <c r="V88" s="1" t="str" cm="1">
        <f t="array" ref="V88">_xlfn.IFS(U88&lt;6,"Flat",U88&lt;=14,"Average",U88&gt;14,"Steep")</f>
        <v>Average</v>
      </c>
      <c r="W88" s="1">
        <v>-1</v>
      </c>
      <c r="X88" s="1">
        <v>30.8</v>
      </c>
      <c r="Y88" s="1">
        <v>50.4</v>
      </c>
    </row>
    <row r="89" spans="1:25" x14ac:dyDescent="0.3">
      <c r="A89" t="s">
        <v>218</v>
      </c>
      <c r="B89" t="s">
        <v>219</v>
      </c>
      <c r="C89" s="1">
        <v>663647</v>
      </c>
      <c r="D89" s="1" t="s">
        <v>154</v>
      </c>
      <c r="E89" s="1" t="s">
        <v>26</v>
      </c>
      <c r="F89" s="1">
        <v>-12</v>
      </c>
      <c r="G89" s="1">
        <v>454</v>
      </c>
      <c r="H89" s="1">
        <v>21.1</v>
      </c>
      <c r="I89" s="1">
        <v>0.27500000000000002</v>
      </c>
      <c r="J89" s="1">
        <v>0.371</v>
      </c>
      <c r="K89" s="1">
        <v>0.27200000000000002</v>
      </c>
      <c r="L89" s="1">
        <v>0.3</v>
      </c>
      <c r="M89" s="1">
        <v>50.8</v>
      </c>
      <c r="N89" s="1">
        <v>4.0999999999999996</v>
      </c>
      <c r="O89" s="1">
        <v>10.6</v>
      </c>
      <c r="P89" s="1">
        <v>70.599999999999994</v>
      </c>
      <c r="Q89" s="1">
        <v>9.0999999999999998E-2</v>
      </c>
      <c r="R89" s="1">
        <v>6.4</v>
      </c>
      <c r="S89" s="1" t="str" cm="1">
        <f t="array" ref="S89">_xlfn.IFS(R89&lt;6.5, "Short_Swing", R89&lt;=7.4, "Average_Swing", R89&gt;=7.5, "Long_Swing")</f>
        <v>Short_Swing</v>
      </c>
      <c r="T89" s="1">
        <v>26.5</v>
      </c>
      <c r="U89" s="1">
        <v>4.3</v>
      </c>
      <c r="V89" s="1" t="str" cm="1">
        <f t="array" ref="V89">_xlfn.IFS(U89&lt;6,"Flat",U89&lt;=14,"Average",U89&gt;14,"Steep")</f>
        <v>Flat</v>
      </c>
      <c r="W89" s="1">
        <v>1.5</v>
      </c>
      <c r="X89" s="1">
        <v>34.5</v>
      </c>
      <c r="Y89" s="1">
        <v>43.4</v>
      </c>
    </row>
    <row r="90" spans="1:25" x14ac:dyDescent="0.3">
      <c r="A90" t="s">
        <v>220</v>
      </c>
      <c r="B90" t="s">
        <v>221</v>
      </c>
      <c r="C90" s="1">
        <v>669720</v>
      </c>
      <c r="D90" s="1" t="s">
        <v>154</v>
      </c>
      <c r="E90" s="1" t="s">
        <v>27</v>
      </c>
      <c r="F90" s="1">
        <v>5</v>
      </c>
      <c r="G90" s="1">
        <v>341</v>
      </c>
      <c r="H90" s="1">
        <v>21.9</v>
      </c>
      <c r="I90" s="1">
        <v>0.23699999999999999</v>
      </c>
      <c r="J90" s="1">
        <v>0.53400000000000003</v>
      </c>
      <c r="K90" s="1">
        <v>0.46100000000000002</v>
      </c>
      <c r="L90" s="1">
        <v>0.35099999999999998</v>
      </c>
      <c r="M90" s="1">
        <v>50</v>
      </c>
      <c r="N90" s="1">
        <v>20</v>
      </c>
      <c r="O90" s="1">
        <v>21.7</v>
      </c>
      <c r="P90" s="1">
        <v>71.3</v>
      </c>
      <c r="Q90" s="1">
        <v>0.156</v>
      </c>
      <c r="R90" s="1">
        <v>6.7</v>
      </c>
      <c r="S90" s="1" t="str" cm="1">
        <f t="array" ref="S90">_xlfn.IFS(R90&lt;6.5, "Short_Swing", R90&lt;=7.4, "Average_Swing", R90&gt;=7.5, "Long_Swing")</f>
        <v>Average_Swing</v>
      </c>
      <c r="T90" s="1">
        <v>30.8</v>
      </c>
      <c r="U90" s="1">
        <v>14.2</v>
      </c>
      <c r="V90" s="1" t="str" cm="1">
        <f t="array" ref="V90">_xlfn.IFS(U90&lt;6,"Flat",U90&lt;=14,"Average",U90&gt;14,"Steep")</f>
        <v>Steep</v>
      </c>
      <c r="W90" s="1">
        <v>-5.6</v>
      </c>
      <c r="X90" s="1">
        <v>35.799999999999997</v>
      </c>
      <c r="Y90" s="1">
        <v>65.900000000000006</v>
      </c>
    </row>
    <row r="91" spans="1:25" x14ac:dyDescent="0.3">
      <c r="A91" t="s">
        <v>222</v>
      </c>
      <c r="B91" t="s">
        <v>223</v>
      </c>
      <c r="C91" s="1">
        <v>641680</v>
      </c>
      <c r="D91" s="1" t="s">
        <v>102</v>
      </c>
      <c r="E91" s="1" t="s">
        <v>27</v>
      </c>
      <c r="F91" s="1">
        <v>-12</v>
      </c>
      <c r="G91" s="1">
        <v>711</v>
      </c>
      <c r="H91" s="1">
        <v>41.7</v>
      </c>
      <c r="I91" s="1">
        <v>0.22500000000000001</v>
      </c>
      <c r="J91" s="1">
        <v>0.33400000000000002</v>
      </c>
      <c r="K91" s="1">
        <v>0.26800000000000002</v>
      </c>
      <c r="L91" s="1">
        <v>0.27500000000000002</v>
      </c>
      <c r="M91" s="1">
        <v>32.5</v>
      </c>
      <c r="N91" s="1">
        <v>27.2</v>
      </c>
      <c r="O91" s="1">
        <v>23.5</v>
      </c>
      <c r="P91" s="1">
        <v>69</v>
      </c>
      <c r="Q91" s="1">
        <v>0.04</v>
      </c>
      <c r="R91" s="1">
        <v>7.1</v>
      </c>
      <c r="S91" s="1" t="str" cm="1">
        <f t="array" ref="S91">_xlfn.IFS(R91&lt;6.5, "Short_Swing", R91&lt;=7.4, "Average_Swing", R91&gt;=7.5, "Long_Swing")</f>
        <v>Average_Swing</v>
      </c>
      <c r="T91" s="1">
        <v>28.6</v>
      </c>
      <c r="U91" s="1">
        <v>11</v>
      </c>
      <c r="V91" s="1" t="str" cm="1">
        <f t="array" ref="V91">_xlfn.IFS(U91&lt;6,"Flat",U91&lt;=14,"Average",U91&gt;14,"Steep")</f>
        <v>Average</v>
      </c>
      <c r="W91" s="1">
        <v>0.4</v>
      </c>
      <c r="X91" s="1">
        <v>28.3</v>
      </c>
      <c r="Y91" s="1">
        <v>59.2</v>
      </c>
    </row>
    <row r="92" spans="1:25" x14ac:dyDescent="0.3">
      <c r="A92" t="s">
        <v>224</v>
      </c>
      <c r="B92" t="s">
        <v>225</v>
      </c>
      <c r="C92" s="1">
        <v>683002</v>
      </c>
      <c r="D92" s="1" t="s">
        <v>226</v>
      </c>
      <c r="E92" s="1" t="s">
        <v>26</v>
      </c>
      <c r="F92" s="1">
        <v>-1</v>
      </c>
      <c r="G92" s="1">
        <v>394</v>
      </c>
      <c r="H92" s="1">
        <v>15.7</v>
      </c>
      <c r="I92" s="1">
        <v>0.28199999999999997</v>
      </c>
      <c r="J92" s="1">
        <v>0.38</v>
      </c>
      <c r="K92" s="1">
        <v>0.372</v>
      </c>
      <c r="L92" s="1">
        <v>0.35</v>
      </c>
      <c r="M92" s="1">
        <v>46.3</v>
      </c>
      <c r="N92" s="1">
        <v>11</v>
      </c>
      <c r="O92" s="1">
        <v>8.5</v>
      </c>
      <c r="P92" s="1">
        <v>74.599999999999994</v>
      </c>
      <c r="Q92" s="1">
        <v>0.45900000000000002</v>
      </c>
      <c r="R92" s="1">
        <v>6.9</v>
      </c>
      <c r="S92" s="1" t="str" cm="1">
        <f t="array" ref="S92">_xlfn.IFS(R92&lt;6.5, "Short_Swing", R92&lt;=7.4, "Average_Swing", R92&gt;=7.5, "Long_Swing")</f>
        <v>Average_Swing</v>
      </c>
      <c r="T92" s="1">
        <v>29</v>
      </c>
      <c r="U92" s="1">
        <v>8.5</v>
      </c>
      <c r="V92" s="1" t="str" cm="1">
        <f t="array" ref="V92">_xlfn.IFS(U92&lt;6,"Flat",U92&lt;=14,"Average",U92&gt;14,"Steep")</f>
        <v>Average</v>
      </c>
      <c r="W92" s="1">
        <v>1</v>
      </c>
      <c r="X92" s="1">
        <v>33.4</v>
      </c>
      <c r="Y92" s="1">
        <v>51</v>
      </c>
    </row>
    <row r="93" spans="1:25" x14ac:dyDescent="0.3">
      <c r="A93" t="s">
        <v>227</v>
      </c>
      <c r="B93" t="s">
        <v>228</v>
      </c>
      <c r="C93" s="1">
        <v>606192</v>
      </c>
      <c r="D93" s="1" t="s">
        <v>91</v>
      </c>
      <c r="E93" s="1" t="s">
        <v>26</v>
      </c>
      <c r="F93" s="1">
        <v>-5</v>
      </c>
      <c r="G93" s="1">
        <v>401</v>
      </c>
      <c r="H93" s="1">
        <v>18.7</v>
      </c>
      <c r="I93" s="1">
        <v>0.312</v>
      </c>
      <c r="J93" s="1">
        <v>0.48</v>
      </c>
      <c r="K93" s="1">
        <v>0.317</v>
      </c>
      <c r="L93" s="1">
        <v>0.36599999999999999</v>
      </c>
      <c r="M93" s="1">
        <v>44.4</v>
      </c>
      <c r="N93" s="1">
        <v>9.9</v>
      </c>
      <c r="O93" s="1">
        <v>6.4</v>
      </c>
      <c r="P93" s="1">
        <v>72.2</v>
      </c>
      <c r="Q93" s="1">
        <v>0.23599999999999999</v>
      </c>
      <c r="R93" s="1">
        <v>7.4</v>
      </c>
      <c r="S93" s="1" t="str" cm="1">
        <f t="array" ref="S93">_xlfn.IFS(R93&lt;6.5, "Short_Swing", R93&lt;=7.4, "Average_Swing", R93&gt;=7.5, "Long_Swing")</f>
        <v>Average_Swing</v>
      </c>
      <c r="T93" s="1">
        <v>31.9</v>
      </c>
      <c r="U93" s="1">
        <v>10.4</v>
      </c>
      <c r="V93" s="1" t="str" cm="1">
        <f t="array" ref="V93">_xlfn.IFS(U93&lt;6,"Flat",U93&lt;=14,"Average",U93&gt;14,"Steep")</f>
        <v>Average</v>
      </c>
      <c r="W93" s="1">
        <v>-0.1</v>
      </c>
      <c r="X93" s="1">
        <v>30.5</v>
      </c>
      <c r="Y93" s="1">
        <v>54.4</v>
      </c>
    </row>
    <row r="94" spans="1:25" x14ac:dyDescent="0.3">
      <c r="A94" t="s">
        <v>229</v>
      </c>
      <c r="B94" t="s">
        <v>230</v>
      </c>
      <c r="C94" s="1">
        <v>671056</v>
      </c>
      <c r="D94" s="1" t="s">
        <v>53</v>
      </c>
      <c r="E94" s="1" t="s">
        <v>26</v>
      </c>
      <c r="F94" s="1">
        <v>4</v>
      </c>
      <c r="G94" s="1">
        <v>350</v>
      </c>
      <c r="H94" s="1">
        <v>19.3</v>
      </c>
      <c r="I94" s="1">
        <v>0.32100000000000001</v>
      </c>
      <c r="J94" s="1">
        <v>0.436</v>
      </c>
      <c r="K94" s="1">
        <v>0.40699999999999997</v>
      </c>
      <c r="L94" s="1">
        <v>0.376</v>
      </c>
      <c r="M94" s="1">
        <v>40.299999999999997</v>
      </c>
      <c r="N94" s="1">
        <v>14.3</v>
      </c>
      <c r="O94" s="1">
        <v>12.5</v>
      </c>
      <c r="P94" s="1">
        <v>74.099999999999994</v>
      </c>
      <c r="Q94" s="1">
        <v>0.45700000000000002</v>
      </c>
      <c r="R94" s="1">
        <v>7.6</v>
      </c>
      <c r="S94" s="1" t="str" cm="1">
        <f t="array" ref="S94">_xlfn.IFS(R94&lt;6.5, "Short_Swing", R94&lt;=7.4, "Average_Swing", R94&gt;=7.5, "Long_Swing")</f>
        <v>Long_Swing</v>
      </c>
      <c r="T94" s="1">
        <v>32</v>
      </c>
      <c r="U94" s="1">
        <v>8.6999999999999993</v>
      </c>
      <c r="V94" s="1" t="str" cm="1">
        <f t="array" ref="V94">_xlfn.IFS(U94&lt;6,"Flat",U94&lt;=14,"Average",U94&gt;14,"Steep")</f>
        <v>Average</v>
      </c>
      <c r="W94" s="1">
        <v>-0.5</v>
      </c>
      <c r="X94" s="1">
        <v>31.5</v>
      </c>
      <c r="Y94" s="1">
        <v>47.8</v>
      </c>
    </row>
    <row r="95" spans="1:25" x14ac:dyDescent="0.3">
      <c r="A95" t="s">
        <v>231</v>
      </c>
      <c r="B95" t="s">
        <v>232</v>
      </c>
      <c r="C95" s="1">
        <v>663538</v>
      </c>
      <c r="D95" s="1" t="s">
        <v>106</v>
      </c>
      <c r="E95" s="1" t="s">
        <v>27</v>
      </c>
      <c r="F95" s="1">
        <v>6</v>
      </c>
      <c r="G95" s="1">
        <v>678</v>
      </c>
      <c r="H95" s="1">
        <v>29.4</v>
      </c>
      <c r="I95" s="1">
        <v>0.314</v>
      </c>
      <c r="J95" s="1">
        <v>0.43</v>
      </c>
      <c r="K95" s="1">
        <v>0.38600000000000001</v>
      </c>
      <c r="L95" s="1">
        <v>0.35499999999999998</v>
      </c>
      <c r="M95" s="1">
        <v>39.9</v>
      </c>
      <c r="N95" s="1">
        <v>4.7</v>
      </c>
      <c r="O95" s="1">
        <v>5.4</v>
      </c>
      <c r="P95" s="1">
        <v>68.599999999999994</v>
      </c>
      <c r="Q95" s="1">
        <v>2.9000000000000001E-2</v>
      </c>
      <c r="R95" s="1">
        <v>6.8</v>
      </c>
      <c r="S95" s="1" t="str" cm="1">
        <f t="array" ref="S95">_xlfn.IFS(R95&lt;6.5, "Short_Swing", R95&lt;=7.4, "Average_Swing", R95&gt;=7.5, "Long_Swing")</f>
        <v>Average_Swing</v>
      </c>
      <c r="T95" s="1">
        <v>33.299999999999997</v>
      </c>
      <c r="U95" s="1">
        <v>5.9</v>
      </c>
      <c r="V95" s="1" t="str" cm="1">
        <f t="array" ref="V95">_xlfn.IFS(U95&lt;6,"Flat",U95&lt;=14,"Average",U95&gt;14,"Steep")</f>
        <v>Flat</v>
      </c>
      <c r="W95" s="1">
        <v>-1.9</v>
      </c>
      <c r="X95" s="1">
        <v>27.1</v>
      </c>
      <c r="Y95" s="1">
        <v>47.9</v>
      </c>
    </row>
    <row r="96" spans="1:25" x14ac:dyDescent="0.3">
      <c r="A96" t="s">
        <v>128</v>
      </c>
      <c r="B96" t="s">
        <v>233</v>
      </c>
      <c r="C96" s="1">
        <v>702616</v>
      </c>
      <c r="D96" s="1" t="s">
        <v>226</v>
      </c>
      <c r="E96" s="1" t="s">
        <v>27</v>
      </c>
      <c r="F96" s="1">
        <v>-8</v>
      </c>
      <c r="G96" s="1">
        <v>820</v>
      </c>
      <c r="H96" s="1">
        <v>33.6</v>
      </c>
      <c r="I96" s="1">
        <v>0.25600000000000001</v>
      </c>
      <c r="J96" s="1">
        <v>0.46400000000000002</v>
      </c>
      <c r="K96" s="1">
        <v>0.30199999999999999</v>
      </c>
      <c r="L96" s="1">
        <v>0.35499999999999998</v>
      </c>
      <c r="M96" s="1">
        <v>51.3</v>
      </c>
      <c r="N96" s="1">
        <v>21.4</v>
      </c>
      <c r="O96" s="1">
        <v>22</v>
      </c>
      <c r="P96" s="1">
        <v>70.400000000000006</v>
      </c>
      <c r="Q96" s="1">
        <v>8.5000000000000006E-2</v>
      </c>
      <c r="R96" s="1">
        <v>6.6</v>
      </c>
      <c r="S96" s="1" t="str" cm="1">
        <f t="array" ref="S96">_xlfn.IFS(R96&lt;6.5, "Short_Swing", R96&lt;=7.4, "Average_Swing", R96&gt;=7.5, "Long_Swing")</f>
        <v>Average_Swing</v>
      </c>
      <c r="T96" s="1">
        <v>31.9</v>
      </c>
      <c r="U96" s="1">
        <v>8.3000000000000007</v>
      </c>
      <c r="V96" s="1" t="str" cm="1">
        <f t="array" ref="V96">_xlfn.IFS(U96&lt;6,"Flat",U96&lt;=14,"Average",U96&gt;14,"Steep")</f>
        <v>Average</v>
      </c>
      <c r="W96" s="1">
        <v>5.6</v>
      </c>
      <c r="X96" s="1">
        <v>26.2</v>
      </c>
      <c r="Y96" s="1">
        <v>52.8</v>
      </c>
    </row>
    <row r="97" spans="1:25" x14ac:dyDescent="0.3">
      <c r="A97" t="s">
        <v>234</v>
      </c>
      <c r="B97" t="s">
        <v>235</v>
      </c>
      <c r="C97" s="1">
        <v>687462</v>
      </c>
      <c r="D97" s="1" t="s">
        <v>149</v>
      </c>
      <c r="E97" s="1" t="s">
        <v>27</v>
      </c>
      <c r="F97" s="1">
        <v>4</v>
      </c>
      <c r="G97" s="1">
        <v>616</v>
      </c>
      <c r="H97" s="1">
        <v>36.299999999999997</v>
      </c>
      <c r="I97" s="1">
        <v>0.26900000000000002</v>
      </c>
      <c r="J97" s="1">
        <v>0.41099999999999998</v>
      </c>
      <c r="K97" s="1">
        <v>0.38600000000000001</v>
      </c>
      <c r="L97" s="1">
        <v>0.36099999999999999</v>
      </c>
      <c r="M97" s="1">
        <v>40</v>
      </c>
      <c r="N97" s="1">
        <v>12</v>
      </c>
      <c r="O97" s="1">
        <v>9.9</v>
      </c>
      <c r="P97" s="1">
        <v>67.900000000000006</v>
      </c>
      <c r="Q97" s="1">
        <v>4.2000000000000003E-2</v>
      </c>
      <c r="R97" s="1">
        <v>6.6</v>
      </c>
      <c r="S97" s="1" t="str" cm="1">
        <f t="array" ref="S97">_xlfn.IFS(R97&lt;6.5, "Short_Swing", R97&lt;=7.4, "Average_Swing", R97&gt;=7.5, "Long_Swing")</f>
        <v>Average_Swing</v>
      </c>
      <c r="T97" s="1">
        <v>35.9</v>
      </c>
      <c r="U97" s="1">
        <v>9.9</v>
      </c>
      <c r="V97" s="1" t="str" cm="1">
        <f t="array" ref="V97">_xlfn.IFS(U97&lt;6,"Flat",U97&lt;=14,"Average",U97&gt;14,"Steep")</f>
        <v>Average</v>
      </c>
      <c r="W97" s="1">
        <v>-1.8</v>
      </c>
      <c r="X97" s="1">
        <v>30</v>
      </c>
      <c r="Y97" s="1">
        <v>44.9</v>
      </c>
    </row>
    <row r="98" spans="1:25" x14ac:dyDescent="0.3">
      <c r="A98" t="s">
        <v>48</v>
      </c>
      <c r="B98" t="s">
        <v>236</v>
      </c>
      <c r="C98" s="1">
        <v>663697</v>
      </c>
      <c r="D98" s="1" t="s">
        <v>184</v>
      </c>
      <c r="E98" s="1" t="s">
        <v>26</v>
      </c>
      <c r="F98" s="1">
        <v>-8</v>
      </c>
      <c r="G98" s="1">
        <v>499</v>
      </c>
      <c r="H98" s="1">
        <v>21.2</v>
      </c>
      <c r="I98" s="1">
        <v>0.23899999999999999</v>
      </c>
      <c r="J98" s="1">
        <v>0.34399999999999997</v>
      </c>
      <c r="K98" s="1">
        <v>0.27700000000000002</v>
      </c>
      <c r="L98" s="1">
        <v>0.32300000000000001</v>
      </c>
      <c r="M98" s="1">
        <v>38.5</v>
      </c>
      <c r="N98" s="1">
        <v>13.5</v>
      </c>
      <c r="O98" s="1">
        <v>12.6</v>
      </c>
      <c r="P98" s="1">
        <v>72.5</v>
      </c>
      <c r="Q98" s="1">
        <v>0.26300000000000001</v>
      </c>
      <c r="R98" s="1">
        <v>7</v>
      </c>
      <c r="S98" s="1" t="str" cm="1">
        <f t="array" ref="S98">_xlfn.IFS(R98&lt;6.5, "Short_Swing", R98&lt;=7.4, "Average_Swing", R98&gt;=7.5, "Long_Swing")</f>
        <v>Average_Swing</v>
      </c>
      <c r="T98" s="1">
        <v>28.2</v>
      </c>
      <c r="U98" s="1">
        <v>9.1</v>
      </c>
      <c r="V98" s="1" t="str" cm="1">
        <f t="array" ref="V98">_xlfn.IFS(U98&lt;6,"Flat",U98&lt;=14,"Average",U98&gt;14,"Steep")</f>
        <v>Average</v>
      </c>
      <c r="W98" s="1">
        <v>-4.5999999999999996</v>
      </c>
      <c r="X98" s="1">
        <v>30.7</v>
      </c>
      <c r="Y98" s="1">
        <v>61.3</v>
      </c>
    </row>
    <row r="99" spans="1:25" x14ac:dyDescent="0.3">
      <c r="A99" t="s">
        <v>51</v>
      </c>
      <c r="B99" t="s">
        <v>237</v>
      </c>
      <c r="C99" s="1">
        <v>666134</v>
      </c>
      <c r="D99" s="1" t="s">
        <v>56</v>
      </c>
      <c r="E99" s="1" t="s">
        <v>27</v>
      </c>
      <c r="F99" s="1">
        <v>-7</v>
      </c>
      <c r="G99" s="1">
        <v>699</v>
      </c>
      <c r="H99" s="1">
        <v>41.2</v>
      </c>
      <c r="I99" s="1">
        <v>0.25</v>
      </c>
      <c r="J99" s="1">
        <v>0.44600000000000001</v>
      </c>
      <c r="K99" s="1">
        <v>0.28799999999999998</v>
      </c>
      <c r="L99" s="1">
        <v>0.34699999999999998</v>
      </c>
      <c r="M99" s="1">
        <v>51.4</v>
      </c>
      <c r="N99" s="1">
        <v>23</v>
      </c>
      <c r="O99" s="1">
        <v>24.9</v>
      </c>
      <c r="P99" s="1">
        <v>72</v>
      </c>
      <c r="Q99" s="1">
        <v>0.24199999999999999</v>
      </c>
      <c r="R99" s="1">
        <v>6.4</v>
      </c>
      <c r="S99" s="1" t="str" cm="1">
        <f t="array" ref="S99">_xlfn.IFS(R99&lt;6.5, "Short_Swing", R99&lt;=7.4, "Average_Swing", R99&gt;=7.5, "Long_Swing")</f>
        <v>Short_Swing</v>
      </c>
      <c r="T99" s="1">
        <v>35.4</v>
      </c>
      <c r="U99" s="1">
        <v>8.9</v>
      </c>
      <c r="V99" s="1" t="str" cm="1">
        <f t="array" ref="V99">_xlfn.IFS(U99&lt;6,"Flat",U99&lt;=14,"Average",U99&gt;14,"Steep")</f>
        <v>Average</v>
      </c>
      <c r="W99" s="1">
        <v>-0.1</v>
      </c>
      <c r="X99" s="1">
        <v>32.700000000000003</v>
      </c>
      <c r="Y99" s="1">
        <v>45.2</v>
      </c>
    </row>
    <row r="100" spans="1:25" x14ac:dyDescent="0.3">
      <c r="A100" t="s">
        <v>238</v>
      </c>
      <c r="B100" t="s">
        <v>239</v>
      </c>
      <c r="C100" s="1">
        <v>592450</v>
      </c>
      <c r="D100" s="1" t="s">
        <v>85</v>
      </c>
      <c r="E100" s="1" t="s">
        <v>27</v>
      </c>
      <c r="F100" s="1">
        <v>25</v>
      </c>
      <c r="G100" s="1">
        <v>676</v>
      </c>
      <c r="H100" s="1">
        <v>25.7</v>
      </c>
      <c r="I100" s="1">
        <v>0.3</v>
      </c>
      <c r="J100" s="1">
        <v>0.85399999999999998</v>
      </c>
      <c r="K100" s="1">
        <v>0.51500000000000001</v>
      </c>
      <c r="L100" s="1">
        <v>0.505</v>
      </c>
      <c r="M100" s="1">
        <v>71.7</v>
      </c>
      <c r="N100" s="1">
        <v>28.8</v>
      </c>
      <c r="O100" s="1">
        <v>28.5</v>
      </c>
      <c r="P100" s="1">
        <v>76.599999999999994</v>
      </c>
      <c r="Q100" s="1">
        <v>0.67600000000000005</v>
      </c>
      <c r="R100" s="1">
        <v>7.6</v>
      </c>
      <c r="S100" s="1" t="str" cm="1">
        <f t="array" ref="S100">_xlfn.IFS(R100&lt;6.5, "Short_Swing", R100&lt;=7.4, "Average_Swing", R100&gt;=7.5, "Long_Swing")</f>
        <v>Long_Swing</v>
      </c>
      <c r="T100" s="1">
        <v>38.4</v>
      </c>
      <c r="U100" s="1">
        <v>14.1</v>
      </c>
      <c r="V100" s="1" t="str" cm="1">
        <f t="array" ref="V100">_xlfn.IFS(U100&lt;6,"Flat",U100&lt;=14,"Average",U100&gt;14,"Steep")</f>
        <v>Steep</v>
      </c>
      <c r="W100" s="1">
        <v>-6</v>
      </c>
      <c r="X100" s="1">
        <v>30.6</v>
      </c>
      <c r="Y100" s="1">
        <v>50.8</v>
      </c>
    </row>
    <row r="101" spans="1:25" x14ac:dyDescent="0.3">
      <c r="A101" t="s">
        <v>81</v>
      </c>
      <c r="B101" t="s">
        <v>240</v>
      </c>
      <c r="C101" s="1">
        <v>673962</v>
      </c>
      <c r="D101" s="1" t="s">
        <v>102</v>
      </c>
      <c r="E101" s="1" t="s">
        <v>27</v>
      </c>
      <c r="F101" s="1">
        <v>-6</v>
      </c>
      <c r="G101" s="1">
        <v>584</v>
      </c>
      <c r="H101" s="1">
        <v>30.2</v>
      </c>
      <c r="I101" s="1">
        <v>0.23799999999999999</v>
      </c>
      <c r="J101" s="1">
        <v>0.44800000000000001</v>
      </c>
      <c r="K101" s="1">
        <v>0.27900000000000003</v>
      </c>
      <c r="L101" s="1">
        <v>0.32500000000000001</v>
      </c>
      <c r="M101" s="1">
        <v>57.3</v>
      </c>
      <c r="N101" s="1">
        <v>28.1</v>
      </c>
      <c r="O101" s="1">
        <v>31.2</v>
      </c>
      <c r="P101" s="1">
        <v>70</v>
      </c>
      <c r="Q101" s="1">
        <v>3.4000000000000002E-2</v>
      </c>
      <c r="R101" s="1">
        <v>6.6</v>
      </c>
      <c r="S101" s="1" t="str" cm="1">
        <f t="array" ref="S101">_xlfn.IFS(R101&lt;6.5, "Short_Swing", R101&lt;=7.4, "Average_Swing", R101&gt;=7.5, "Long_Swing")</f>
        <v>Average_Swing</v>
      </c>
      <c r="T101" s="1">
        <v>37.700000000000003</v>
      </c>
      <c r="U101" s="1">
        <v>11.5</v>
      </c>
      <c r="V101" s="1" t="str" cm="1">
        <f t="array" ref="V101">_xlfn.IFS(U101&lt;6,"Flat",U101&lt;=14,"Average",U101&gt;14,"Steep")</f>
        <v>Average</v>
      </c>
      <c r="W101" s="1">
        <v>2.6</v>
      </c>
      <c r="X101" s="1">
        <v>32.1</v>
      </c>
      <c r="Y101" s="1">
        <v>52.8</v>
      </c>
    </row>
    <row r="102" spans="1:25" x14ac:dyDescent="0.3">
      <c r="A102" t="s">
        <v>241</v>
      </c>
      <c r="B102" t="s">
        <v>242</v>
      </c>
      <c r="C102" s="1">
        <v>690993</v>
      </c>
      <c r="D102" s="1" t="s">
        <v>68</v>
      </c>
      <c r="E102" s="1" t="s">
        <v>27</v>
      </c>
      <c r="F102" s="1">
        <v>1</v>
      </c>
      <c r="G102" s="1">
        <v>583</v>
      </c>
      <c r="H102" s="1">
        <v>31.9</v>
      </c>
      <c r="I102" s="1">
        <v>0.29399999999999998</v>
      </c>
      <c r="J102" s="1">
        <v>0.55700000000000005</v>
      </c>
      <c r="K102" s="1">
        <v>0.36</v>
      </c>
      <c r="L102" s="1">
        <v>0.39300000000000002</v>
      </c>
      <c r="M102" s="1">
        <v>61.1</v>
      </c>
      <c r="N102" s="1">
        <v>12.4</v>
      </c>
      <c r="O102" s="1">
        <v>19.5</v>
      </c>
      <c r="P102" s="1">
        <v>70.7</v>
      </c>
      <c r="Q102" s="1">
        <v>0.1</v>
      </c>
      <c r="R102" s="1">
        <v>6.4</v>
      </c>
      <c r="S102" s="1" t="str" cm="1">
        <f t="array" ref="S102">_xlfn.IFS(R102&lt;6.5, "Short_Swing", R102&lt;=7.4, "Average_Swing", R102&gt;=7.5, "Long_Swing")</f>
        <v>Short_Swing</v>
      </c>
      <c r="T102" s="1">
        <v>32.9</v>
      </c>
      <c r="U102" s="1">
        <v>11.8</v>
      </c>
      <c r="V102" s="1" t="str" cm="1">
        <f t="array" ref="V102">_xlfn.IFS(U102&lt;6,"Flat",U102&lt;=14,"Average",U102&gt;14,"Steep")</f>
        <v>Average</v>
      </c>
      <c r="W102" s="1">
        <v>-2.5</v>
      </c>
      <c r="X102" s="1">
        <v>31.5</v>
      </c>
      <c r="Y102" s="1">
        <v>48.8</v>
      </c>
    </row>
    <row r="103" spans="1:25" x14ac:dyDescent="0.3">
      <c r="A103" t="s">
        <v>243</v>
      </c>
      <c r="B103" t="s">
        <v>244</v>
      </c>
      <c r="C103" s="1">
        <v>608348</v>
      </c>
      <c r="D103" s="1" t="s">
        <v>106</v>
      </c>
      <c r="E103" s="1" t="s">
        <v>26</v>
      </c>
      <c r="F103" s="1">
        <v>1</v>
      </c>
      <c r="G103" s="1">
        <v>300</v>
      </c>
      <c r="H103" s="1">
        <v>18</v>
      </c>
      <c r="I103" s="1">
        <v>0.28399999999999997</v>
      </c>
      <c r="J103" s="1">
        <v>0.442</v>
      </c>
      <c r="K103" s="1">
        <v>0.40600000000000003</v>
      </c>
      <c r="L103" s="1">
        <v>0.376</v>
      </c>
      <c r="M103" s="1">
        <v>39.700000000000003</v>
      </c>
      <c r="N103" s="1">
        <v>7.3</v>
      </c>
      <c r="O103" s="1">
        <v>4.0999999999999996</v>
      </c>
      <c r="P103" s="1">
        <v>69.599999999999994</v>
      </c>
      <c r="Q103" s="1">
        <v>4.9000000000000002E-2</v>
      </c>
      <c r="R103" s="1">
        <v>6.5</v>
      </c>
      <c r="S103" s="1" t="str" cm="1">
        <f t="array" ref="S103">_xlfn.IFS(R103&lt;6.5, "Short_Swing", R103&lt;=7.4, "Average_Swing", R103&gt;=7.5, "Long_Swing")</f>
        <v>Average_Swing</v>
      </c>
      <c r="T103" s="1">
        <v>33.1</v>
      </c>
      <c r="U103" s="1">
        <v>11.7</v>
      </c>
      <c r="V103" s="1" t="str" cm="1">
        <f t="array" ref="V103">_xlfn.IFS(U103&lt;6,"Flat",U103&lt;=14,"Average",U103&gt;14,"Steep")</f>
        <v>Average</v>
      </c>
      <c r="W103" s="1">
        <v>-4</v>
      </c>
      <c r="X103" s="1">
        <v>30.9</v>
      </c>
      <c r="Y103" s="1">
        <v>52.9</v>
      </c>
    </row>
    <row r="104" spans="1:25" x14ac:dyDescent="0.3">
      <c r="A104" t="s">
        <v>245</v>
      </c>
      <c r="B104" t="s">
        <v>246</v>
      </c>
      <c r="C104" s="1">
        <v>596146</v>
      </c>
      <c r="D104" s="1" t="s">
        <v>65</v>
      </c>
      <c r="E104" s="1" t="s">
        <v>27</v>
      </c>
      <c r="F104" s="1">
        <v>2</v>
      </c>
      <c r="G104" s="1">
        <v>626</v>
      </c>
      <c r="H104" s="1">
        <v>34.299999999999997</v>
      </c>
      <c r="I104" s="1">
        <v>0.25900000000000001</v>
      </c>
      <c r="J104" s="1">
        <v>0.58799999999999997</v>
      </c>
      <c r="K104" s="1">
        <v>0.35299999999999998</v>
      </c>
      <c r="L104" s="1">
        <v>0.40600000000000003</v>
      </c>
      <c r="M104" s="1">
        <v>53.4</v>
      </c>
      <c r="N104" s="1">
        <v>16</v>
      </c>
      <c r="O104" s="1">
        <v>16.399999999999999</v>
      </c>
      <c r="P104" s="1">
        <v>71.099999999999994</v>
      </c>
      <c r="Q104" s="1">
        <v>0.14699999999999999</v>
      </c>
      <c r="R104" s="1">
        <v>6.9</v>
      </c>
      <c r="S104" s="1" t="str" cm="1">
        <f t="array" ref="S104">_xlfn.IFS(R104&lt;6.5, "Short_Swing", R104&lt;=7.4, "Average_Swing", R104&gt;=7.5, "Long_Swing")</f>
        <v>Average_Swing</v>
      </c>
      <c r="T104" s="1">
        <v>31.8</v>
      </c>
      <c r="U104" s="1">
        <v>7.8</v>
      </c>
      <c r="V104" s="1" t="str" cm="1">
        <f t="array" ref="V104">_xlfn.IFS(U104&lt;6,"Flat",U104&lt;=14,"Average",U104&gt;14,"Steep")</f>
        <v>Average</v>
      </c>
      <c r="W104" s="1">
        <v>-7</v>
      </c>
      <c r="X104" s="1">
        <v>32.5</v>
      </c>
      <c r="Y104" s="1">
        <v>44.6</v>
      </c>
    </row>
    <row r="105" spans="1:25" x14ac:dyDescent="0.3">
      <c r="A105" t="s">
        <v>247</v>
      </c>
      <c r="B105" t="s">
        <v>248</v>
      </c>
      <c r="C105" s="1">
        <v>643396</v>
      </c>
      <c r="D105" s="1" t="s">
        <v>75</v>
      </c>
      <c r="E105" s="1" t="s">
        <v>27</v>
      </c>
      <c r="F105" s="1">
        <v>-1</v>
      </c>
      <c r="G105" s="1">
        <v>440</v>
      </c>
      <c r="H105" s="1">
        <v>27</v>
      </c>
      <c r="I105" s="1">
        <v>0.28100000000000003</v>
      </c>
      <c r="J105" s="1">
        <v>0.34599999999999997</v>
      </c>
      <c r="K105" s="1">
        <v>0.36099999999999999</v>
      </c>
      <c r="L105" s="1">
        <v>0.318</v>
      </c>
      <c r="M105" s="1">
        <v>33.799999999999997</v>
      </c>
      <c r="N105" s="1">
        <v>14.3</v>
      </c>
      <c r="O105" s="1">
        <v>18.399999999999999</v>
      </c>
      <c r="P105" s="1">
        <v>66</v>
      </c>
      <c r="Q105" s="1">
        <v>6.0000000000000001E-3</v>
      </c>
      <c r="R105" s="1">
        <v>6.4</v>
      </c>
      <c r="S105" s="1" t="str" cm="1">
        <f t="array" ref="S105">_xlfn.IFS(R105&lt;6.5, "Short_Swing", R105&lt;=7.4, "Average_Swing", R105&gt;=7.5, "Long_Swing")</f>
        <v>Short_Swing</v>
      </c>
      <c r="T105" s="1">
        <v>32.5</v>
      </c>
      <c r="U105" s="1">
        <v>4.4000000000000004</v>
      </c>
      <c r="V105" s="1" t="str" cm="1">
        <f t="array" ref="V105">_xlfn.IFS(U105&lt;6,"Flat",U105&lt;=14,"Average",U105&gt;14,"Steep")</f>
        <v>Flat</v>
      </c>
      <c r="W105" s="1">
        <v>3.7</v>
      </c>
      <c r="X105" s="1">
        <v>28.8</v>
      </c>
      <c r="Y105" s="1">
        <v>37.5</v>
      </c>
    </row>
    <row r="106" spans="1:25" x14ac:dyDescent="0.3">
      <c r="A106" t="s">
        <v>249</v>
      </c>
      <c r="B106" t="s">
        <v>250</v>
      </c>
      <c r="C106" s="1">
        <v>672386</v>
      </c>
      <c r="D106" s="1" t="s">
        <v>75</v>
      </c>
      <c r="E106" s="1" t="s">
        <v>27</v>
      </c>
      <c r="F106" s="1">
        <v>5</v>
      </c>
      <c r="G106" s="1">
        <v>574</v>
      </c>
      <c r="H106" s="1">
        <v>29</v>
      </c>
      <c r="I106" s="1">
        <v>0.29899999999999999</v>
      </c>
      <c r="J106" s="1">
        <v>0.51500000000000001</v>
      </c>
      <c r="K106" s="1">
        <v>0.39400000000000002</v>
      </c>
      <c r="L106" s="1">
        <v>0.40300000000000002</v>
      </c>
      <c r="M106" s="1">
        <v>54.9</v>
      </c>
      <c r="N106" s="1">
        <v>22.4</v>
      </c>
      <c r="O106" s="1">
        <v>18.3</v>
      </c>
      <c r="P106" s="1">
        <v>71.7</v>
      </c>
      <c r="Q106" s="1">
        <v>0.20699999999999999</v>
      </c>
      <c r="R106" s="1">
        <v>6.9</v>
      </c>
      <c r="S106" s="1" t="str" cm="1">
        <f t="array" ref="S106">_xlfn.IFS(R106&lt;6.5, "Short_Swing", R106&lt;=7.4, "Average_Swing", R106&gt;=7.5, "Long_Swing")</f>
        <v>Average_Swing</v>
      </c>
      <c r="T106" s="1">
        <v>23.9</v>
      </c>
      <c r="U106" s="1">
        <v>7.9</v>
      </c>
      <c r="V106" s="1" t="str" cm="1">
        <f t="array" ref="V106">_xlfn.IFS(U106&lt;6,"Flat",U106&lt;=14,"Average",U106&gt;14,"Steep")</f>
        <v>Average</v>
      </c>
      <c r="W106" s="1">
        <v>4.5</v>
      </c>
      <c r="X106" s="1">
        <v>30.1</v>
      </c>
      <c r="Y106" s="1">
        <v>55.8</v>
      </c>
    </row>
    <row r="107" spans="1:25" x14ac:dyDescent="0.3">
      <c r="A107" t="s">
        <v>120</v>
      </c>
      <c r="B107" t="s">
        <v>251</v>
      </c>
      <c r="C107" s="1">
        <v>701762</v>
      </c>
      <c r="D107" s="1" t="s">
        <v>109</v>
      </c>
      <c r="E107" s="1" t="s">
        <v>27</v>
      </c>
      <c r="F107" s="1">
        <v>13</v>
      </c>
      <c r="G107" s="1">
        <v>541</v>
      </c>
      <c r="H107" s="1">
        <v>27.7</v>
      </c>
      <c r="I107" s="1">
        <v>0.26100000000000001</v>
      </c>
      <c r="J107" s="1">
        <v>0.61799999999999999</v>
      </c>
      <c r="K107" s="1">
        <v>0.48499999999999999</v>
      </c>
      <c r="L107" s="1">
        <v>0.41799999999999998</v>
      </c>
      <c r="M107" s="1">
        <v>55.7</v>
      </c>
      <c r="N107" s="1">
        <v>28.1</v>
      </c>
      <c r="O107" s="1">
        <v>25.4</v>
      </c>
      <c r="P107" s="1">
        <v>77.2</v>
      </c>
      <c r="Q107" s="1">
        <v>0.71499999999999997</v>
      </c>
      <c r="R107" s="1">
        <v>7.3</v>
      </c>
      <c r="S107" s="1" t="str" cm="1">
        <f t="array" ref="S107">_xlfn.IFS(R107&lt;6.5, "Short_Swing", R107&lt;=7.4, "Average_Swing", R107&gt;=7.5, "Long_Swing")</f>
        <v>Average_Swing</v>
      </c>
      <c r="T107" s="1">
        <v>39.1</v>
      </c>
      <c r="U107" s="1">
        <v>14.2</v>
      </c>
      <c r="V107" s="1" t="str" cm="1">
        <f t="array" ref="V107">_xlfn.IFS(U107&lt;6,"Flat",U107&lt;=14,"Average",U107&gt;14,"Steep")</f>
        <v>Steep</v>
      </c>
      <c r="W107" s="1">
        <v>1.8</v>
      </c>
      <c r="X107" s="1">
        <v>24.8</v>
      </c>
      <c r="Y107" s="1">
        <v>48.1</v>
      </c>
    </row>
    <row r="108" spans="1:25" x14ac:dyDescent="0.3">
      <c r="A108" t="s">
        <v>252</v>
      </c>
      <c r="B108" t="s">
        <v>253</v>
      </c>
      <c r="C108" s="1">
        <v>680757</v>
      </c>
      <c r="D108" s="1" t="s">
        <v>56</v>
      </c>
      <c r="E108" s="1" t="s">
        <v>26</v>
      </c>
      <c r="F108" s="1">
        <v>4</v>
      </c>
      <c r="G108" s="1">
        <v>459</v>
      </c>
      <c r="H108" s="1">
        <v>16.5</v>
      </c>
      <c r="I108" s="1">
        <v>0.28499999999999998</v>
      </c>
      <c r="J108" s="1">
        <v>0.35599999999999998</v>
      </c>
      <c r="K108" s="1">
        <v>0.38200000000000001</v>
      </c>
      <c r="L108" s="1">
        <v>0.32500000000000001</v>
      </c>
      <c r="M108" s="1">
        <v>22.6</v>
      </c>
      <c r="N108" s="1">
        <v>3.3</v>
      </c>
      <c r="O108" s="1">
        <v>8.4</v>
      </c>
      <c r="P108" s="1">
        <v>63</v>
      </c>
      <c r="Q108" s="1">
        <v>6.0000000000000001E-3</v>
      </c>
      <c r="R108" s="1">
        <v>6</v>
      </c>
      <c r="S108" s="1" t="str" cm="1">
        <f t="array" ref="S108">_xlfn.IFS(R108&lt;6.5, "Short_Swing", R108&lt;=7.4, "Average_Swing", R108&gt;=7.5, "Long_Swing")</f>
        <v>Short_Swing</v>
      </c>
      <c r="T108" s="1">
        <v>35.6</v>
      </c>
      <c r="U108" s="1">
        <v>3.2</v>
      </c>
      <c r="V108" s="1" t="str" cm="1">
        <f t="array" ref="V108">_xlfn.IFS(U108&lt;6,"Flat",U108&lt;=14,"Average",U108&gt;14,"Steep")</f>
        <v>Flat</v>
      </c>
      <c r="W108" s="1">
        <v>-2.5</v>
      </c>
      <c r="X108" s="1">
        <v>29.8</v>
      </c>
      <c r="Y108" s="1">
        <v>35.299999999999997</v>
      </c>
    </row>
    <row r="109" spans="1:25" x14ac:dyDescent="0.3">
      <c r="A109" t="s">
        <v>254</v>
      </c>
      <c r="B109" t="s">
        <v>255</v>
      </c>
      <c r="C109" s="1">
        <v>669127</v>
      </c>
      <c r="D109" s="1" t="s">
        <v>109</v>
      </c>
      <c r="E109" s="1" t="s">
        <v>27</v>
      </c>
      <c r="F109" s="1">
        <v>3</v>
      </c>
      <c r="G109" s="1">
        <v>632</v>
      </c>
      <c r="H109" s="1">
        <v>32.799999999999997</v>
      </c>
      <c r="I109" s="1">
        <v>0.24299999999999999</v>
      </c>
      <c r="J109" s="1">
        <v>0.51500000000000001</v>
      </c>
      <c r="K109" s="1">
        <v>0.38</v>
      </c>
      <c r="L109" s="1">
        <v>0.36099999999999999</v>
      </c>
      <c r="M109" s="1">
        <v>52.7</v>
      </c>
      <c r="N109" s="1">
        <v>24.9</v>
      </c>
      <c r="O109" s="1">
        <v>27.5</v>
      </c>
      <c r="P109" s="1">
        <v>73.599999999999994</v>
      </c>
      <c r="Q109" s="1">
        <v>0.373</v>
      </c>
      <c r="R109" s="1">
        <v>6.8</v>
      </c>
      <c r="S109" s="1" t="str" cm="1">
        <f t="array" ref="S109">_xlfn.IFS(R109&lt;6.5, "Short_Swing", R109&lt;=7.4, "Average_Swing", R109&gt;=7.5, "Long_Swing")</f>
        <v>Average_Swing</v>
      </c>
      <c r="T109" s="1">
        <v>30.3</v>
      </c>
      <c r="U109" s="1">
        <v>11.4</v>
      </c>
      <c r="V109" s="1" t="str" cm="1">
        <f t="array" ref="V109">_xlfn.IFS(U109&lt;6,"Flat",U109&lt;=14,"Average",U109&gt;14,"Steep")</f>
        <v>Average</v>
      </c>
      <c r="W109" s="1">
        <v>-3.1</v>
      </c>
      <c r="X109" s="1">
        <v>33.700000000000003</v>
      </c>
      <c r="Y109" s="1">
        <v>61.4</v>
      </c>
    </row>
    <row r="110" spans="1:25" x14ac:dyDescent="0.3">
      <c r="A110" t="s">
        <v>256</v>
      </c>
      <c r="B110" t="s">
        <v>257</v>
      </c>
      <c r="C110" s="1">
        <v>694671</v>
      </c>
      <c r="D110" s="1" t="s">
        <v>102</v>
      </c>
      <c r="E110" s="1" t="s">
        <v>26</v>
      </c>
      <c r="F110" s="1">
        <v>2</v>
      </c>
      <c r="G110" s="1">
        <v>422</v>
      </c>
      <c r="H110" s="1">
        <v>18.100000000000001</v>
      </c>
      <c r="I110" s="1">
        <v>0.28199999999999997</v>
      </c>
      <c r="J110" s="1">
        <v>0.48899999999999999</v>
      </c>
      <c r="K110" s="1">
        <v>0.36</v>
      </c>
      <c r="L110" s="1">
        <v>0.375</v>
      </c>
      <c r="M110" s="1">
        <v>60.7</v>
      </c>
      <c r="N110" s="1">
        <v>11.4</v>
      </c>
      <c r="O110" s="1">
        <v>19.8</v>
      </c>
      <c r="P110" s="1">
        <v>72.900000000000006</v>
      </c>
      <c r="Q110" s="1">
        <v>0.27400000000000002</v>
      </c>
      <c r="R110" s="1">
        <v>6.6</v>
      </c>
      <c r="S110" s="1" t="str" cm="1">
        <f t="array" ref="S110">_xlfn.IFS(R110&lt;6.5, "Short_Swing", R110&lt;=7.4, "Average_Swing", R110&gt;=7.5, "Long_Swing")</f>
        <v>Average_Swing</v>
      </c>
      <c r="T110" s="1">
        <v>33.700000000000003</v>
      </c>
      <c r="U110" s="1">
        <v>16.8</v>
      </c>
      <c r="V110" s="1" t="str" cm="1">
        <f t="array" ref="V110">_xlfn.IFS(U110&lt;6,"Flat",U110&lt;=14,"Average",U110&gt;14,"Steep")</f>
        <v>Steep</v>
      </c>
      <c r="W110" s="1">
        <v>-3.1</v>
      </c>
      <c r="X110" s="1">
        <v>32</v>
      </c>
      <c r="Y110" s="1">
        <v>48.6</v>
      </c>
    </row>
    <row r="111" spans="1:25" x14ac:dyDescent="0.3">
      <c r="A111" t="s">
        <v>258</v>
      </c>
      <c r="B111" t="s">
        <v>259</v>
      </c>
      <c r="C111" s="1">
        <v>663616</v>
      </c>
      <c r="D111" s="1" t="s">
        <v>112</v>
      </c>
      <c r="E111" s="1" t="s">
        <v>26</v>
      </c>
      <c r="F111" s="1">
        <v>1</v>
      </c>
      <c r="G111" s="1">
        <v>315</v>
      </c>
      <c r="H111" s="1">
        <v>14.4</v>
      </c>
      <c r="I111" s="1">
        <v>0.24399999999999999</v>
      </c>
      <c r="J111" s="1">
        <v>0.34699999999999998</v>
      </c>
      <c r="K111" s="1">
        <v>0.38200000000000001</v>
      </c>
      <c r="L111" s="1">
        <v>0.311</v>
      </c>
      <c r="M111" s="1">
        <v>50</v>
      </c>
      <c r="N111" s="1">
        <v>14.6</v>
      </c>
      <c r="O111" s="1">
        <v>17.2</v>
      </c>
      <c r="P111" s="1">
        <v>71.900000000000006</v>
      </c>
      <c r="Q111" s="1">
        <v>0.21299999999999999</v>
      </c>
      <c r="R111" s="1">
        <v>6.8</v>
      </c>
      <c r="S111" s="1" t="str" cm="1">
        <f t="array" ref="S111">_xlfn.IFS(R111&lt;6.5, "Short_Swing", R111&lt;=7.4, "Average_Swing", R111&gt;=7.5, "Long_Swing")</f>
        <v>Average_Swing</v>
      </c>
      <c r="T111" s="1">
        <v>34.1</v>
      </c>
      <c r="U111" s="1">
        <v>8.3000000000000007</v>
      </c>
      <c r="V111" s="1" t="str" cm="1">
        <f t="array" ref="V111">_xlfn.IFS(U111&lt;6,"Flat",U111&lt;=14,"Average",U111&gt;14,"Steep")</f>
        <v>Average</v>
      </c>
      <c r="W111" s="1">
        <v>-10.6</v>
      </c>
      <c r="X111" s="1">
        <v>34.299999999999997</v>
      </c>
      <c r="Y111" s="1">
        <v>41.1</v>
      </c>
    </row>
    <row r="112" spans="1:25" x14ac:dyDescent="0.3">
      <c r="A112" t="s">
        <v>260</v>
      </c>
      <c r="B112" t="s">
        <v>261</v>
      </c>
      <c r="C112" s="1">
        <v>657656</v>
      </c>
      <c r="D112" s="1" t="s">
        <v>62</v>
      </c>
      <c r="E112" s="1" t="s">
        <v>26</v>
      </c>
      <c r="F112" s="1">
        <v>2</v>
      </c>
      <c r="G112" s="1">
        <v>325</v>
      </c>
      <c r="H112" s="1">
        <v>16.3</v>
      </c>
      <c r="I112" s="1">
        <v>0.30499999999999999</v>
      </c>
      <c r="J112" s="1">
        <v>0.53400000000000003</v>
      </c>
      <c r="K112" s="1">
        <v>0.41399999999999998</v>
      </c>
      <c r="L112" s="1">
        <v>0.378</v>
      </c>
      <c r="M112" s="1">
        <v>43.2</v>
      </c>
      <c r="N112" s="1">
        <v>11.6</v>
      </c>
      <c r="O112" s="1">
        <v>12</v>
      </c>
      <c r="P112" s="1">
        <v>71.7</v>
      </c>
      <c r="Q112" s="1">
        <v>0.184</v>
      </c>
      <c r="R112" s="1">
        <v>6.6</v>
      </c>
      <c r="S112" s="1" t="str" cm="1">
        <f t="array" ref="S112">_xlfn.IFS(R112&lt;6.5, "Short_Swing", R112&lt;=7.4, "Average_Swing", R112&gt;=7.5, "Long_Swing")</f>
        <v>Average_Swing</v>
      </c>
      <c r="T112" s="1">
        <v>35.1</v>
      </c>
      <c r="U112" s="1">
        <v>15.6</v>
      </c>
      <c r="V112" s="1" t="str" cm="1">
        <f t="array" ref="V112">_xlfn.IFS(U112&lt;6,"Flat",U112&lt;=14,"Average",U112&gt;14,"Steep")</f>
        <v>Steep</v>
      </c>
      <c r="W112" s="1">
        <v>1</v>
      </c>
      <c r="X112" s="1">
        <v>32.799999999999997</v>
      </c>
      <c r="Y112" s="1">
        <v>47.3</v>
      </c>
    </row>
    <row r="113" spans="1:25" x14ac:dyDescent="0.3">
      <c r="A113" t="s">
        <v>262</v>
      </c>
      <c r="B113" t="s">
        <v>263</v>
      </c>
      <c r="C113" s="1">
        <v>808982</v>
      </c>
      <c r="D113" s="1" t="s">
        <v>36</v>
      </c>
      <c r="E113" s="1" t="s">
        <v>27</v>
      </c>
      <c r="F113" s="1">
        <v>1</v>
      </c>
      <c r="G113" s="1">
        <v>847</v>
      </c>
      <c r="H113" s="1">
        <v>36</v>
      </c>
      <c r="I113" s="1">
        <v>0.29399999999999998</v>
      </c>
      <c r="J113" s="1">
        <v>0.41</v>
      </c>
      <c r="K113" s="1">
        <v>0.35599999999999998</v>
      </c>
      <c r="L113" s="1">
        <v>0.35099999999999998</v>
      </c>
      <c r="M113" s="1">
        <v>35.799999999999997</v>
      </c>
      <c r="N113" s="1">
        <v>8.5</v>
      </c>
      <c r="O113" s="1">
        <v>10.1</v>
      </c>
      <c r="P113" s="1">
        <v>68.099999999999994</v>
      </c>
      <c r="Q113" s="1">
        <v>2.3E-2</v>
      </c>
      <c r="R113" s="1">
        <v>7.3</v>
      </c>
      <c r="S113" s="1" t="str" cm="1">
        <f t="array" ref="S113">_xlfn.IFS(R113&lt;6.5, "Short_Swing", R113&lt;=7.4, "Average_Swing", R113&gt;=7.5, "Long_Swing")</f>
        <v>Average_Swing</v>
      </c>
      <c r="T113" s="1">
        <v>39.4</v>
      </c>
      <c r="U113" s="1">
        <v>5.2</v>
      </c>
      <c r="V113" s="1" t="str" cm="1">
        <f t="array" ref="V113">_xlfn.IFS(U113&lt;6,"Flat",U113&lt;=14,"Average",U113&gt;14,"Steep")</f>
        <v>Flat</v>
      </c>
      <c r="W113" s="1">
        <v>-4.5999999999999996</v>
      </c>
      <c r="X113" s="1">
        <v>30.2</v>
      </c>
      <c r="Y113" s="1">
        <v>40.700000000000003</v>
      </c>
    </row>
    <row r="114" spans="1:25" x14ac:dyDescent="0.3">
      <c r="A114" t="s">
        <v>264</v>
      </c>
      <c r="B114" t="s">
        <v>263</v>
      </c>
      <c r="C114" s="1">
        <v>686797</v>
      </c>
      <c r="D114" s="1" t="s">
        <v>112</v>
      </c>
      <c r="E114" s="1" t="s">
        <v>27</v>
      </c>
      <c r="F114" s="1">
        <v>8</v>
      </c>
      <c r="G114" s="1">
        <v>551</v>
      </c>
      <c r="H114" s="1">
        <v>27.4</v>
      </c>
      <c r="I114" s="1">
        <v>0.25800000000000001</v>
      </c>
      <c r="J114" s="1">
        <v>0.48399999999999999</v>
      </c>
      <c r="K114" s="1">
        <v>0.39400000000000002</v>
      </c>
      <c r="L114" s="1">
        <v>0.34300000000000003</v>
      </c>
      <c r="M114" s="1">
        <v>49.2</v>
      </c>
      <c r="N114" s="1">
        <v>18.100000000000001</v>
      </c>
      <c r="O114" s="1">
        <v>17.5</v>
      </c>
      <c r="P114" s="1">
        <v>69.8</v>
      </c>
      <c r="Q114" s="1">
        <v>0.105</v>
      </c>
      <c r="R114" s="1">
        <v>6.7</v>
      </c>
      <c r="S114" s="1" t="str" cm="1">
        <f t="array" ref="S114">_xlfn.IFS(R114&lt;6.5, "Short_Swing", R114&lt;=7.4, "Average_Swing", R114&gt;=7.5, "Long_Swing")</f>
        <v>Average_Swing</v>
      </c>
      <c r="T114" s="1">
        <v>30.9</v>
      </c>
      <c r="U114" s="1">
        <v>11.3</v>
      </c>
      <c r="V114" s="1" t="str" cm="1">
        <f t="array" ref="V114">_xlfn.IFS(U114&lt;6,"Flat",U114&lt;=14,"Average",U114&gt;14,"Steep")</f>
        <v>Average</v>
      </c>
      <c r="W114" s="1">
        <v>-4.5999999999999996</v>
      </c>
      <c r="X114" s="1">
        <v>30.1</v>
      </c>
      <c r="Y114" s="1">
        <v>57.7</v>
      </c>
    </row>
    <row r="115" spans="1:25" x14ac:dyDescent="0.3">
      <c r="A115" t="s">
        <v>265</v>
      </c>
      <c r="B115" t="s">
        <v>266</v>
      </c>
      <c r="C115" s="1">
        <v>668904</v>
      </c>
      <c r="D115" s="1" t="s">
        <v>112</v>
      </c>
      <c r="E115" s="1" t="s">
        <v>27</v>
      </c>
      <c r="F115" s="1">
        <v>-8</v>
      </c>
      <c r="G115" s="1">
        <v>511</v>
      </c>
      <c r="H115" s="1">
        <v>33.700000000000003</v>
      </c>
      <c r="I115" s="1">
        <v>0.215</v>
      </c>
      <c r="J115" s="1">
        <v>0.39600000000000002</v>
      </c>
      <c r="K115" s="1">
        <v>0.26800000000000002</v>
      </c>
      <c r="L115" s="1">
        <v>0.3</v>
      </c>
      <c r="M115" s="1">
        <v>50.6</v>
      </c>
      <c r="N115" s="1">
        <v>32.4</v>
      </c>
      <c r="O115" s="1">
        <v>23.9</v>
      </c>
      <c r="P115" s="1">
        <v>73.900000000000006</v>
      </c>
      <c r="Q115" s="1">
        <v>0.436</v>
      </c>
      <c r="R115" s="1">
        <v>7.8</v>
      </c>
      <c r="S115" s="1" t="str" cm="1">
        <f t="array" ref="S115">_xlfn.IFS(R115&lt;6.5, "Short_Swing", R115&lt;=7.4, "Average_Swing", R115&gt;=7.5, "Long_Swing")</f>
        <v>Long_Swing</v>
      </c>
      <c r="T115" s="1">
        <v>28.9</v>
      </c>
      <c r="U115" s="1">
        <v>10.8</v>
      </c>
      <c r="V115" s="1" t="str" cm="1">
        <f t="array" ref="V115">_xlfn.IFS(U115&lt;6,"Flat",U115&lt;=14,"Average",U115&gt;14,"Steep")</f>
        <v>Average</v>
      </c>
      <c r="W115" s="1">
        <v>-7.7</v>
      </c>
      <c r="X115" s="1">
        <v>28.6</v>
      </c>
      <c r="Y115" s="1">
        <v>68.400000000000006</v>
      </c>
    </row>
    <row r="116" spans="1:25" x14ac:dyDescent="0.3">
      <c r="A116" t="s">
        <v>267</v>
      </c>
      <c r="B116" t="s">
        <v>268</v>
      </c>
      <c r="C116" s="1">
        <v>596019</v>
      </c>
      <c r="D116" s="1" t="s">
        <v>44</v>
      </c>
      <c r="E116" s="1" t="s">
        <v>27</v>
      </c>
      <c r="F116" s="1">
        <v>16</v>
      </c>
      <c r="G116" s="1">
        <v>1084</v>
      </c>
      <c r="H116" s="1">
        <v>36.9</v>
      </c>
      <c r="I116" s="1">
        <v>0.28399999999999997</v>
      </c>
      <c r="J116" s="1">
        <v>0.55200000000000005</v>
      </c>
      <c r="K116" s="1">
        <v>0.41499999999999998</v>
      </c>
      <c r="L116" s="1">
        <v>0.40300000000000002</v>
      </c>
      <c r="M116" s="1">
        <v>52.5</v>
      </c>
      <c r="N116" s="1">
        <v>15.8</v>
      </c>
      <c r="O116" s="1">
        <v>14.7</v>
      </c>
      <c r="P116" s="1">
        <v>70.7</v>
      </c>
      <c r="Q116" s="1">
        <v>0.15</v>
      </c>
      <c r="R116" s="1">
        <v>7.1</v>
      </c>
      <c r="S116" s="1" t="str" cm="1">
        <f t="array" ref="S116">_xlfn.IFS(R116&lt;6.5, "Short_Swing", R116&lt;=7.4, "Average_Swing", R116&gt;=7.5, "Long_Swing")</f>
        <v>Average_Swing</v>
      </c>
      <c r="T116" s="1">
        <v>33.799999999999997</v>
      </c>
      <c r="U116" s="1">
        <v>11.1</v>
      </c>
      <c r="V116" s="1" t="str" cm="1">
        <f t="array" ref="V116">_xlfn.IFS(U116&lt;6,"Flat",U116&lt;=14,"Average",U116&gt;14,"Steep")</f>
        <v>Average</v>
      </c>
      <c r="W116" s="1">
        <v>-1.6</v>
      </c>
      <c r="X116" s="1">
        <v>29.3</v>
      </c>
      <c r="Y116" s="1">
        <v>51.1</v>
      </c>
    </row>
    <row r="117" spans="1:25" x14ac:dyDescent="0.3">
      <c r="A117" t="s">
        <v>269</v>
      </c>
      <c r="B117" t="s">
        <v>270</v>
      </c>
      <c r="C117" s="1">
        <v>672640</v>
      </c>
      <c r="D117" s="1" t="s">
        <v>175</v>
      </c>
      <c r="E117" s="1" t="s">
        <v>27</v>
      </c>
      <c r="F117" s="1">
        <v>-1</v>
      </c>
      <c r="G117" s="1">
        <v>555</v>
      </c>
      <c r="H117" s="1">
        <v>26.1</v>
      </c>
      <c r="I117" s="1">
        <v>0.30499999999999999</v>
      </c>
      <c r="J117" s="1">
        <v>0.53</v>
      </c>
      <c r="K117" s="1">
        <v>0.36199999999999999</v>
      </c>
      <c r="L117" s="1">
        <v>0.38800000000000001</v>
      </c>
      <c r="M117" s="1">
        <v>52.3</v>
      </c>
      <c r="N117" s="1">
        <v>9.1999999999999993</v>
      </c>
      <c r="O117" s="1">
        <v>12.5</v>
      </c>
      <c r="P117" s="1">
        <v>71.900000000000006</v>
      </c>
      <c r="Q117" s="1">
        <v>0.224</v>
      </c>
      <c r="R117" s="1">
        <v>6.4</v>
      </c>
      <c r="S117" s="1" t="str" cm="1">
        <f t="array" ref="S117">_xlfn.IFS(R117&lt;6.5, "Short_Swing", R117&lt;=7.4, "Average_Swing", R117&gt;=7.5, "Long_Swing")</f>
        <v>Short_Swing</v>
      </c>
      <c r="T117" s="1">
        <v>29.9</v>
      </c>
      <c r="U117" s="1">
        <v>7.4</v>
      </c>
      <c r="V117" s="1" t="str" cm="1">
        <f t="array" ref="V117">_xlfn.IFS(U117&lt;6,"Flat",U117&lt;=14,"Average",U117&gt;14,"Steep")</f>
        <v>Average</v>
      </c>
      <c r="W117" s="1">
        <v>-2.2999999999999998</v>
      </c>
      <c r="X117" s="1">
        <v>30.5</v>
      </c>
      <c r="Y117" s="1">
        <v>48.5</v>
      </c>
    </row>
    <row r="118" spans="1:25" x14ac:dyDescent="0.3">
      <c r="A118" t="s">
        <v>271</v>
      </c>
      <c r="B118" t="s">
        <v>272</v>
      </c>
      <c r="C118" s="1">
        <v>663993</v>
      </c>
      <c r="D118" s="1" t="s">
        <v>30</v>
      </c>
      <c r="E118" s="1" t="s">
        <v>27</v>
      </c>
      <c r="F118" s="1">
        <v>1</v>
      </c>
      <c r="G118" s="1">
        <v>1025</v>
      </c>
      <c r="H118" s="1">
        <v>39.299999999999997</v>
      </c>
      <c r="I118" s="1">
        <v>0.254</v>
      </c>
      <c r="J118" s="1">
        <v>0.42399999999999999</v>
      </c>
      <c r="K118" s="1">
        <v>0.35099999999999998</v>
      </c>
      <c r="L118" s="1">
        <v>0.34899999999999998</v>
      </c>
      <c r="M118" s="1">
        <v>44.5</v>
      </c>
      <c r="N118" s="1">
        <v>25.7</v>
      </c>
      <c r="O118" s="1">
        <v>29.2</v>
      </c>
      <c r="P118" s="1">
        <v>72.400000000000006</v>
      </c>
      <c r="Q118" s="1">
        <v>0.193</v>
      </c>
      <c r="R118" s="1">
        <v>6.8</v>
      </c>
      <c r="S118" s="1" t="str" cm="1">
        <f t="array" ref="S118">_xlfn.IFS(R118&lt;6.5, "Short_Swing", R118&lt;=7.4, "Average_Swing", R118&gt;=7.5, "Long_Swing")</f>
        <v>Average_Swing</v>
      </c>
      <c r="T118" s="1">
        <v>30.1</v>
      </c>
      <c r="U118" s="1">
        <v>6.6</v>
      </c>
      <c r="V118" s="1" t="str" cm="1">
        <f t="array" ref="V118">_xlfn.IFS(U118&lt;6,"Flat",U118&lt;=14,"Average",U118&gt;14,"Steep")</f>
        <v>Average</v>
      </c>
      <c r="W118" s="1">
        <v>7.9</v>
      </c>
      <c r="X118" s="1">
        <v>27.4</v>
      </c>
      <c r="Y118" s="1">
        <v>47.2</v>
      </c>
    </row>
    <row r="119" spans="1:25" x14ac:dyDescent="0.3">
      <c r="A119" t="s">
        <v>81</v>
      </c>
      <c r="B119" t="s">
        <v>272</v>
      </c>
      <c r="C119" s="1">
        <v>666139</v>
      </c>
      <c r="D119" s="1" t="s">
        <v>50</v>
      </c>
      <c r="E119" s="1" t="s">
        <v>26</v>
      </c>
      <c r="F119" s="1">
        <v>-4</v>
      </c>
      <c r="G119" s="1">
        <v>280</v>
      </c>
      <c r="H119" s="1">
        <v>15.3</v>
      </c>
      <c r="I119" s="1">
        <v>0.28000000000000003</v>
      </c>
      <c r="J119" s="1">
        <v>0.36199999999999999</v>
      </c>
      <c r="K119" s="1">
        <v>0.26900000000000002</v>
      </c>
      <c r="L119" s="1">
        <v>0.32500000000000001</v>
      </c>
      <c r="M119" s="1">
        <v>50</v>
      </c>
      <c r="N119" s="1">
        <v>21.6</v>
      </c>
      <c r="O119" s="1">
        <v>22.2</v>
      </c>
      <c r="P119" s="1">
        <v>72.5</v>
      </c>
      <c r="Q119" s="1">
        <v>0.27700000000000002</v>
      </c>
      <c r="R119" s="1">
        <v>6.9</v>
      </c>
      <c r="S119" s="1" t="str" cm="1">
        <f t="array" ref="S119">_xlfn.IFS(R119&lt;6.5, "Short_Swing", R119&lt;=7.4, "Average_Swing", R119&gt;=7.5, "Long_Swing")</f>
        <v>Average_Swing</v>
      </c>
      <c r="T119" s="1">
        <v>35.9</v>
      </c>
      <c r="U119" s="1">
        <v>7.1</v>
      </c>
      <c r="V119" s="1" t="str" cm="1">
        <f t="array" ref="V119">_xlfn.IFS(U119&lt;6,"Flat",U119&lt;=14,"Average",U119&gt;14,"Steep")</f>
        <v>Average</v>
      </c>
      <c r="W119" s="1">
        <v>-0.4</v>
      </c>
      <c r="X119" s="1">
        <v>29.2</v>
      </c>
      <c r="Y119" s="1">
        <v>45.6</v>
      </c>
    </row>
    <row r="120" spans="1:25" x14ac:dyDescent="0.3">
      <c r="A120" t="s">
        <v>273</v>
      </c>
      <c r="B120" t="s">
        <v>272</v>
      </c>
      <c r="C120" s="1">
        <v>664040</v>
      </c>
      <c r="D120" s="1" t="s">
        <v>50</v>
      </c>
      <c r="E120" s="1" t="s">
        <v>26</v>
      </c>
      <c r="F120" s="1">
        <v>3</v>
      </c>
      <c r="G120" s="1">
        <v>268</v>
      </c>
      <c r="H120" s="1">
        <v>12.5</v>
      </c>
      <c r="I120" s="1">
        <v>0.33400000000000002</v>
      </c>
      <c r="J120" s="1">
        <v>0.70499999999999996</v>
      </c>
      <c r="K120" s="1">
        <v>0.40300000000000002</v>
      </c>
      <c r="L120" s="1">
        <v>0.45400000000000001</v>
      </c>
      <c r="M120" s="1">
        <v>59.3</v>
      </c>
      <c r="N120" s="1">
        <v>21.6</v>
      </c>
      <c r="O120" s="1">
        <v>16.5</v>
      </c>
      <c r="P120" s="1">
        <v>73.8</v>
      </c>
      <c r="Q120" s="1">
        <v>0.39900000000000002</v>
      </c>
      <c r="R120" s="1">
        <v>6.6</v>
      </c>
      <c r="S120" s="1" t="str" cm="1">
        <f t="array" ref="S120">_xlfn.IFS(R120&lt;6.5, "Short_Swing", R120&lt;=7.4, "Average_Swing", R120&gt;=7.5, "Long_Swing")</f>
        <v>Average_Swing</v>
      </c>
      <c r="T120" s="1">
        <v>33.5</v>
      </c>
      <c r="U120" s="1">
        <v>14.8</v>
      </c>
      <c r="V120" s="1" t="str" cm="1">
        <f t="array" ref="V120">_xlfn.IFS(U120&lt;6,"Flat",U120&lt;=14,"Average",U120&gt;14,"Steep")</f>
        <v>Steep</v>
      </c>
      <c r="W120" s="1">
        <v>-2.6</v>
      </c>
      <c r="X120" s="1">
        <v>34.1</v>
      </c>
      <c r="Y120" s="1">
        <v>48.7</v>
      </c>
    </row>
    <row r="121" spans="1:25" x14ac:dyDescent="0.3">
      <c r="A121" t="s">
        <v>274</v>
      </c>
      <c r="B121" t="s">
        <v>275</v>
      </c>
      <c r="C121" s="1">
        <v>664770</v>
      </c>
      <c r="D121" s="1" t="s">
        <v>75</v>
      </c>
      <c r="E121" s="1" t="s">
        <v>27</v>
      </c>
      <c r="F121" s="1">
        <v>4</v>
      </c>
      <c r="G121" s="1">
        <v>662</v>
      </c>
      <c r="H121" s="1">
        <v>39.799999999999997</v>
      </c>
      <c r="I121" s="1">
        <v>0.27700000000000002</v>
      </c>
      <c r="J121" s="1">
        <v>0.38100000000000001</v>
      </c>
      <c r="K121" s="1">
        <v>0.35699999999999998</v>
      </c>
      <c r="L121" s="1">
        <v>0.34</v>
      </c>
      <c r="M121" s="1">
        <v>37.6</v>
      </c>
      <c r="N121" s="1">
        <v>12.9</v>
      </c>
      <c r="O121" s="1">
        <v>11</v>
      </c>
      <c r="P121" s="1">
        <v>67.2</v>
      </c>
      <c r="Q121" s="1">
        <v>0.03</v>
      </c>
      <c r="R121" s="1">
        <v>6.1</v>
      </c>
      <c r="S121" s="1" t="str" cm="1">
        <f t="array" ref="S121">_xlfn.IFS(R121&lt;6.5, "Short_Swing", R121&lt;=7.4, "Average_Swing", R121&gt;=7.5, "Long_Swing")</f>
        <v>Short_Swing</v>
      </c>
      <c r="T121" s="1">
        <v>31.7</v>
      </c>
      <c r="U121" s="1">
        <v>7.4</v>
      </c>
      <c r="V121" s="1" t="str" cm="1">
        <f t="array" ref="V121">_xlfn.IFS(U121&lt;6,"Flat",U121&lt;=14,"Average",U121&gt;14,"Steep")</f>
        <v>Average</v>
      </c>
      <c r="W121" s="1">
        <v>8</v>
      </c>
      <c r="X121" s="1">
        <v>26.2</v>
      </c>
      <c r="Y121" s="1">
        <v>43.7</v>
      </c>
    </row>
    <row r="122" spans="1:25" x14ac:dyDescent="0.3">
      <c r="A122" t="s">
        <v>276</v>
      </c>
      <c r="B122" t="s">
        <v>277</v>
      </c>
      <c r="C122" s="1">
        <v>666158</v>
      </c>
      <c r="D122" s="1" t="s">
        <v>154</v>
      </c>
      <c r="E122" s="1" t="s">
        <v>27</v>
      </c>
      <c r="F122" s="1">
        <v>6</v>
      </c>
      <c r="G122" s="1">
        <v>631</v>
      </c>
      <c r="H122" s="1">
        <v>30.8</v>
      </c>
      <c r="I122" s="1">
        <v>0.27200000000000002</v>
      </c>
      <c r="J122" s="1">
        <v>0.379</v>
      </c>
      <c r="K122" s="1">
        <v>0.41899999999999998</v>
      </c>
      <c r="L122" s="1">
        <v>0.33400000000000002</v>
      </c>
      <c r="M122" s="1">
        <v>44.3</v>
      </c>
      <c r="N122" s="1">
        <v>16.600000000000001</v>
      </c>
      <c r="O122" s="1">
        <v>19.7</v>
      </c>
      <c r="P122" s="1">
        <v>69.5</v>
      </c>
      <c r="Q122" s="1">
        <v>4.8000000000000001E-2</v>
      </c>
      <c r="R122" s="1">
        <v>6.9</v>
      </c>
      <c r="S122" s="1" t="str" cm="1">
        <f t="array" ref="S122">_xlfn.IFS(R122&lt;6.5, "Short_Swing", R122&lt;=7.4, "Average_Swing", R122&gt;=7.5, "Long_Swing")</f>
        <v>Average_Swing</v>
      </c>
      <c r="T122" s="1">
        <v>33.299999999999997</v>
      </c>
      <c r="U122" s="1">
        <v>11.3</v>
      </c>
      <c r="V122" s="1" t="str" cm="1">
        <f t="array" ref="V122">_xlfn.IFS(U122&lt;6,"Flat",U122&lt;=14,"Average",U122&gt;14,"Steep")</f>
        <v>Average</v>
      </c>
      <c r="W122" s="1">
        <v>2.5</v>
      </c>
      <c r="X122" s="1">
        <v>32.1</v>
      </c>
      <c r="Y122" s="1">
        <v>45.4</v>
      </c>
    </row>
    <row r="123" spans="1:25" x14ac:dyDescent="0.3">
      <c r="A123" t="s">
        <v>278</v>
      </c>
      <c r="B123" t="s">
        <v>279</v>
      </c>
      <c r="C123" s="1">
        <v>592518</v>
      </c>
      <c r="D123" s="1" t="s">
        <v>62</v>
      </c>
      <c r="E123" s="1" t="s">
        <v>27</v>
      </c>
      <c r="F123" s="1">
        <v>0</v>
      </c>
      <c r="G123" s="1">
        <v>838</v>
      </c>
      <c r="H123" s="1">
        <v>31.7</v>
      </c>
      <c r="I123" s="1">
        <v>0.25900000000000001</v>
      </c>
      <c r="J123" s="1">
        <v>0.55700000000000005</v>
      </c>
      <c r="K123" s="1">
        <v>0.34799999999999998</v>
      </c>
      <c r="L123" s="1">
        <v>0.39100000000000001</v>
      </c>
      <c r="M123" s="1">
        <v>64.900000000000006</v>
      </c>
      <c r="N123" s="1">
        <v>26.8</v>
      </c>
      <c r="O123" s="1">
        <v>24.7</v>
      </c>
      <c r="P123" s="1">
        <v>74.2</v>
      </c>
      <c r="Q123" s="1">
        <v>0.39</v>
      </c>
      <c r="R123" s="1">
        <v>7.3</v>
      </c>
      <c r="S123" s="1" t="str" cm="1">
        <f t="array" ref="S123">_xlfn.IFS(R123&lt;6.5, "Short_Swing", R123&lt;=7.4, "Average_Swing", R123&gt;=7.5, "Long_Swing")</f>
        <v>Average_Swing</v>
      </c>
      <c r="T123" s="1">
        <v>26.5</v>
      </c>
      <c r="U123" s="1">
        <v>7.6</v>
      </c>
      <c r="V123" s="1" t="str" cm="1">
        <f t="array" ref="V123">_xlfn.IFS(U123&lt;6,"Flat",U123&lt;=14,"Average",U123&gt;14,"Steep")</f>
        <v>Average</v>
      </c>
      <c r="W123" s="1">
        <v>-0.3</v>
      </c>
      <c r="X123" s="1">
        <v>30.8</v>
      </c>
      <c r="Y123" s="1">
        <v>54.6</v>
      </c>
    </row>
    <row r="124" spans="1:25" x14ac:dyDescent="0.3">
      <c r="A124" t="s">
        <v>100</v>
      </c>
      <c r="B124" t="s">
        <v>280</v>
      </c>
      <c r="C124" s="1">
        <v>663968</v>
      </c>
      <c r="D124" s="1" t="s">
        <v>50</v>
      </c>
      <c r="E124" s="1" t="s">
        <v>27</v>
      </c>
      <c r="F124" s="1">
        <v>-2</v>
      </c>
      <c r="G124" s="1">
        <v>503</v>
      </c>
      <c r="H124" s="1">
        <v>35.1</v>
      </c>
      <c r="I124" s="1">
        <v>0.26100000000000001</v>
      </c>
      <c r="J124" s="1">
        <v>0.34300000000000003</v>
      </c>
      <c r="K124" s="1">
        <v>0.35199999999999998</v>
      </c>
      <c r="L124" s="1">
        <v>0.312</v>
      </c>
      <c r="M124" s="1">
        <v>42.9</v>
      </c>
      <c r="N124" s="1">
        <v>21.1</v>
      </c>
      <c r="O124" s="1">
        <v>25.5</v>
      </c>
      <c r="P124" s="1">
        <v>66.599999999999994</v>
      </c>
      <c r="Q124" s="1">
        <v>4.2000000000000003E-2</v>
      </c>
      <c r="R124" s="1">
        <v>6.1</v>
      </c>
      <c r="S124" s="1" t="str" cm="1">
        <f t="array" ref="S124">_xlfn.IFS(R124&lt;6.5, "Short_Swing", R124&lt;=7.4, "Average_Swing", R124&gt;=7.5, "Long_Swing")</f>
        <v>Short_Swing</v>
      </c>
      <c r="T124" s="1">
        <v>29.3</v>
      </c>
      <c r="U124" s="1">
        <v>2.2999999999999998</v>
      </c>
      <c r="V124" s="1" t="str" cm="1">
        <f t="array" ref="V124">_xlfn.IFS(U124&lt;6,"Flat",U124&lt;=14,"Average",U124&gt;14,"Steep")</f>
        <v>Flat</v>
      </c>
      <c r="W124" s="1">
        <v>11.5</v>
      </c>
      <c r="X124" s="1">
        <v>21</v>
      </c>
      <c r="Y124" s="1">
        <v>31</v>
      </c>
    </row>
    <row r="125" spans="1:25" x14ac:dyDescent="0.3">
      <c r="A125" t="s">
        <v>281</v>
      </c>
      <c r="B125" t="s">
        <v>282</v>
      </c>
      <c r="C125" s="1">
        <v>700932</v>
      </c>
      <c r="D125" s="1" t="s">
        <v>56</v>
      </c>
      <c r="E125" s="1" t="s">
        <v>26</v>
      </c>
      <c r="F125" s="1">
        <v>-3</v>
      </c>
      <c r="G125" s="1">
        <v>253</v>
      </c>
      <c r="H125" s="1">
        <v>12.5</v>
      </c>
      <c r="I125" s="1">
        <v>0.22800000000000001</v>
      </c>
      <c r="J125" s="1">
        <v>0.34399999999999997</v>
      </c>
      <c r="K125" s="1">
        <v>0.28999999999999998</v>
      </c>
      <c r="L125" s="1">
        <v>0.30499999999999999</v>
      </c>
      <c r="M125" s="1">
        <v>37.9</v>
      </c>
      <c r="N125" s="1">
        <v>14.7</v>
      </c>
      <c r="O125" s="1">
        <v>16.899999999999999</v>
      </c>
      <c r="P125" s="1">
        <v>70</v>
      </c>
      <c r="Q125" s="1">
        <v>5.7000000000000002E-2</v>
      </c>
      <c r="R125" s="1">
        <v>7</v>
      </c>
      <c r="S125" s="1" t="str" cm="1">
        <f t="array" ref="S125">_xlfn.IFS(R125&lt;6.5, "Short_Swing", R125&lt;=7.4, "Average_Swing", R125&gt;=7.5, "Long_Swing")</f>
        <v>Average_Swing</v>
      </c>
      <c r="T125" s="1">
        <v>37</v>
      </c>
      <c r="U125" s="1">
        <v>17.3</v>
      </c>
      <c r="V125" s="1" t="str" cm="1">
        <f t="array" ref="V125">_xlfn.IFS(U125&lt;6,"Flat",U125&lt;=14,"Average",U125&gt;14,"Steep")</f>
        <v>Steep</v>
      </c>
      <c r="W125" s="1">
        <v>-0.6</v>
      </c>
      <c r="X125" s="1">
        <v>33.6</v>
      </c>
      <c r="Y125" s="1">
        <v>52.2</v>
      </c>
    </row>
    <row r="126" spans="1:25" x14ac:dyDescent="0.3">
      <c r="A126" t="s">
        <v>273</v>
      </c>
      <c r="B126" t="s">
        <v>283</v>
      </c>
      <c r="C126" s="1">
        <v>669016</v>
      </c>
      <c r="D126" s="1" t="s">
        <v>65</v>
      </c>
      <c r="E126" s="1" t="s">
        <v>27</v>
      </c>
      <c r="F126" s="1">
        <v>-3</v>
      </c>
      <c r="G126" s="1">
        <v>609</v>
      </c>
      <c r="H126" s="1">
        <v>36.799999999999997</v>
      </c>
      <c r="I126" s="1">
        <v>0.23</v>
      </c>
      <c r="J126" s="1">
        <v>0.371</v>
      </c>
      <c r="K126" s="1">
        <v>0.316</v>
      </c>
      <c r="L126" s="1">
        <v>0.313</v>
      </c>
      <c r="M126" s="1">
        <v>47.7</v>
      </c>
      <c r="N126" s="1">
        <v>20.6</v>
      </c>
      <c r="O126" s="1">
        <v>29.1</v>
      </c>
      <c r="P126" s="1">
        <v>71.2</v>
      </c>
      <c r="Q126" s="1">
        <v>0.11600000000000001</v>
      </c>
      <c r="R126" s="1">
        <v>6.6</v>
      </c>
      <c r="S126" s="1" t="str" cm="1">
        <f t="array" ref="S126">_xlfn.IFS(R126&lt;6.5, "Short_Swing", R126&lt;=7.4, "Average_Swing", R126&gt;=7.5, "Long_Swing")</f>
        <v>Average_Swing</v>
      </c>
      <c r="T126" s="1">
        <v>38.5</v>
      </c>
      <c r="U126" s="1">
        <v>9.4</v>
      </c>
      <c r="V126" s="1" t="str" cm="1">
        <f t="array" ref="V126">_xlfn.IFS(U126&lt;6,"Flat",U126&lt;=14,"Average",U126&gt;14,"Steep")</f>
        <v>Average</v>
      </c>
      <c r="W126" s="1">
        <v>-0.4</v>
      </c>
      <c r="X126" s="1">
        <v>27.5</v>
      </c>
      <c r="Y126" s="1">
        <v>41</v>
      </c>
    </row>
    <row r="127" spans="1:25" x14ac:dyDescent="0.3">
      <c r="A127" t="s">
        <v>284</v>
      </c>
      <c r="B127" t="s">
        <v>285</v>
      </c>
      <c r="C127" s="1">
        <v>606466</v>
      </c>
      <c r="D127" s="1" t="s">
        <v>119</v>
      </c>
      <c r="E127" s="1" t="s">
        <v>27</v>
      </c>
      <c r="F127" s="1">
        <v>7</v>
      </c>
      <c r="G127" s="1">
        <v>653</v>
      </c>
      <c r="H127" s="1">
        <v>31.2</v>
      </c>
      <c r="I127" s="1">
        <v>0.30599999999999999</v>
      </c>
      <c r="J127" s="1">
        <v>0.626</v>
      </c>
      <c r="K127" s="1">
        <v>0.40300000000000002</v>
      </c>
      <c r="L127" s="1">
        <v>0.436</v>
      </c>
      <c r="M127" s="1">
        <v>49.2</v>
      </c>
      <c r="N127" s="1">
        <v>16.899999999999999</v>
      </c>
      <c r="O127" s="1">
        <v>9.6999999999999993</v>
      </c>
      <c r="P127" s="1">
        <v>74.099999999999994</v>
      </c>
      <c r="Q127" s="1">
        <v>0.39300000000000002</v>
      </c>
      <c r="R127" s="1">
        <v>7.5</v>
      </c>
      <c r="S127" s="1" t="str" cm="1">
        <f t="array" ref="S127">_xlfn.IFS(R127&lt;6.5, "Short_Swing", R127&lt;=7.4, "Average_Swing", R127&gt;=7.5, "Long_Swing")</f>
        <v>Long_Swing</v>
      </c>
      <c r="T127" s="1">
        <v>32</v>
      </c>
      <c r="U127" s="1">
        <v>10.1</v>
      </c>
      <c r="V127" s="1" t="str" cm="1">
        <f t="array" ref="V127">_xlfn.IFS(U127&lt;6,"Flat",U127&lt;=14,"Average",U127&gt;14,"Steep")</f>
        <v>Average</v>
      </c>
      <c r="W127" s="1">
        <v>-7.2</v>
      </c>
      <c r="X127" s="1">
        <v>36.799999999999997</v>
      </c>
      <c r="Y127" s="1">
        <v>61.5</v>
      </c>
    </row>
    <row r="128" spans="1:25" x14ac:dyDescent="0.3">
      <c r="A128" t="s">
        <v>286</v>
      </c>
      <c r="B128" t="s">
        <v>287</v>
      </c>
      <c r="C128" s="1">
        <v>682657</v>
      </c>
      <c r="D128" s="1" t="s">
        <v>56</v>
      </c>
      <c r="E128" s="1" t="s">
        <v>27</v>
      </c>
      <c r="F128" s="1">
        <v>-5</v>
      </c>
      <c r="G128" s="1">
        <v>616</v>
      </c>
      <c r="H128" s="1">
        <v>34.299999999999997</v>
      </c>
      <c r="I128" s="1">
        <v>0.25700000000000001</v>
      </c>
      <c r="J128" s="1">
        <v>0.377</v>
      </c>
      <c r="K128" s="1">
        <v>0.312</v>
      </c>
      <c r="L128" s="1">
        <v>0.30499999999999999</v>
      </c>
      <c r="M128" s="1">
        <v>35.299999999999997</v>
      </c>
      <c r="N128" s="1">
        <v>19.5</v>
      </c>
      <c r="O128" s="1">
        <v>15.2</v>
      </c>
      <c r="P128" s="1">
        <v>69.7</v>
      </c>
      <c r="Q128" s="1">
        <v>8.6999999999999994E-2</v>
      </c>
      <c r="R128" s="1">
        <v>6.9</v>
      </c>
      <c r="S128" s="1" t="str" cm="1">
        <f t="array" ref="S128">_xlfn.IFS(R128&lt;6.5, "Short_Swing", R128&lt;=7.4, "Average_Swing", R128&gt;=7.5, "Long_Swing")</f>
        <v>Average_Swing</v>
      </c>
      <c r="T128" s="1">
        <v>33.799999999999997</v>
      </c>
      <c r="U128" s="1">
        <v>12.4</v>
      </c>
      <c r="V128" s="1" t="str" cm="1">
        <f t="array" ref="V128">_xlfn.IFS(U128&lt;6,"Flat",U128&lt;=14,"Average",U128&gt;14,"Steep")</f>
        <v>Average</v>
      </c>
      <c r="W128" s="1">
        <v>-7</v>
      </c>
      <c r="X128" s="1">
        <v>37.4</v>
      </c>
      <c r="Y128" s="1">
        <v>56</v>
      </c>
    </row>
    <row r="129" spans="1:25" x14ac:dyDescent="0.3">
      <c r="A129" t="s">
        <v>86</v>
      </c>
      <c r="B129" t="s">
        <v>288</v>
      </c>
      <c r="C129" s="1">
        <v>457705</v>
      </c>
      <c r="D129" s="1" t="s">
        <v>149</v>
      </c>
      <c r="E129" s="1" t="s">
        <v>27</v>
      </c>
      <c r="F129" s="1">
        <v>-9</v>
      </c>
      <c r="G129" s="1">
        <v>645</v>
      </c>
      <c r="H129" s="1">
        <v>28.5</v>
      </c>
      <c r="I129" s="1">
        <v>0.26600000000000001</v>
      </c>
      <c r="J129" s="1">
        <v>0.47599999999999998</v>
      </c>
      <c r="K129" s="1">
        <v>0.29099999999999998</v>
      </c>
      <c r="L129" s="1">
        <v>0.35499999999999998</v>
      </c>
      <c r="M129" s="1">
        <v>52.4</v>
      </c>
      <c r="N129" s="1">
        <v>19.8</v>
      </c>
      <c r="O129" s="1">
        <v>16.7</v>
      </c>
      <c r="P129" s="1">
        <v>71.900000000000006</v>
      </c>
      <c r="Q129" s="1">
        <v>0.16600000000000001</v>
      </c>
      <c r="R129" s="1">
        <v>7.4</v>
      </c>
      <c r="S129" s="1" t="str" cm="1">
        <f t="array" ref="S129">_xlfn.IFS(R129&lt;6.5, "Short_Swing", R129&lt;=7.4, "Average_Swing", R129&gt;=7.5, "Long_Swing")</f>
        <v>Average_Swing</v>
      </c>
      <c r="T129" s="1">
        <v>34.5</v>
      </c>
      <c r="U129" s="1">
        <v>14.5</v>
      </c>
      <c r="V129" s="1" t="str" cm="1">
        <f t="array" ref="V129">_xlfn.IFS(U129&lt;6,"Flat",U129&lt;=14,"Average",U129&gt;14,"Steep")</f>
        <v>Steep</v>
      </c>
      <c r="W129" s="1">
        <v>-0.8</v>
      </c>
      <c r="X129" s="1">
        <v>24.9</v>
      </c>
      <c r="Y129" s="1">
        <v>53.2</v>
      </c>
    </row>
    <row r="130" spans="1:25" x14ac:dyDescent="0.3">
      <c r="A130" t="s">
        <v>289</v>
      </c>
      <c r="B130" t="s">
        <v>290</v>
      </c>
      <c r="C130" s="1">
        <v>656716</v>
      </c>
      <c r="D130" s="1" t="s">
        <v>68</v>
      </c>
      <c r="E130" s="1" t="s">
        <v>26</v>
      </c>
      <c r="F130" s="1">
        <v>3</v>
      </c>
      <c r="G130" s="1">
        <v>276</v>
      </c>
      <c r="H130" s="1">
        <v>13.6</v>
      </c>
      <c r="I130" s="1">
        <v>0.255</v>
      </c>
      <c r="J130" s="1">
        <v>0.33400000000000002</v>
      </c>
      <c r="K130" s="1">
        <v>0.38600000000000001</v>
      </c>
      <c r="L130" s="1">
        <v>0.32700000000000001</v>
      </c>
      <c r="M130" s="1">
        <v>28.8</v>
      </c>
      <c r="N130" s="1">
        <v>14.3</v>
      </c>
      <c r="O130" s="1">
        <v>12.2</v>
      </c>
      <c r="P130" s="1">
        <v>67.5</v>
      </c>
      <c r="Q130" s="1">
        <v>1.6E-2</v>
      </c>
      <c r="R130" s="1">
        <v>6.4</v>
      </c>
      <c r="S130" s="1" t="str" cm="1">
        <f t="array" ref="S130">_xlfn.IFS(R130&lt;6.5, "Short_Swing", R130&lt;=7.4, "Average_Swing", R130&gt;=7.5, "Long_Swing")</f>
        <v>Short_Swing</v>
      </c>
      <c r="T130" s="1">
        <v>37.4</v>
      </c>
      <c r="U130" s="1">
        <v>9.9</v>
      </c>
      <c r="V130" s="1" t="str" cm="1">
        <f t="array" ref="V130">_xlfn.IFS(U130&lt;6,"Flat",U130&lt;=14,"Average",U130&gt;14,"Steep")</f>
        <v>Average</v>
      </c>
      <c r="W130" s="1">
        <v>1.4</v>
      </c>
      <c r="X130" s="1">
        <v>27.3</v>
      </c>
      <c r="Y130" s="1">
        <v>43.1</v>
      </c>
    </row>
    <row r="131" spans="1:25" x14ac:dyDescent="0.3">
      <c r="A131" t="s">
        <v>124</v>
      </c>
      <c r="B131" t="s">
        <v>291</v>
      </c>
      <c r="C131" s="1">
        <v>680574</v>
      </c>
      <c r="D131" s="1" t="s">
        <v>154</v>
      </c>
      <c r="E131" s="1" t="s">
        <v>27</v>
      </c>
      <c r="F131" s="1">
        <v>2</v>
      </c>
      <c r="G131" s="1">
        <v>701</v>
      </c>
      <c r="H131" s="1">
        <v>29.7</v>
      </c>
      <c r="I131" s="1">
        <v>0.217</v>
      </c>
      <c r="J131" s="1">
        <v>0.46</v>
      </c>
      <c r="K131" s="1">
        <v>0.38900000000000001</v>
      </c>
      <c r="L131" s="1">
        <v>0.35299999999999998</v>
      </c>
      <c r="M131" s="1">
        <v>55.1</v>
      </c>
      <c r="N131" s="1">
        <v>26.2</v>
      </c>
      <c r="O131" s="1">
        <v>30.4</v>
      </c>
      <c r="P131" s="1">
        <v>69.5</v>
      </c>
      <c r="Q131" s="1">
        <v>4.2999999999999997E-2</v>
      </c>
      <c r="R131" s="1">
        <v>6.4</v>
      </c>
      <c r="S131" s="1" t="str" cm="1">
        <f t="array" ref="S131">_xlfn.IFS(R131&lt;6.5, "Short_Swing", R131&lt;=7.4, "Average_Swing", R131&gt;=7.5, "Long_Swing")</f>
        <v>Short_Swing</v>
      </c>
      <c r="T131" s="1">
        <v>32.1</v>
      </c>
      <c r="U131" s="1">
        <v>11.5</v>
      </c>
      <c r="V131" s="1" t="str" cm="1">
        <f t="array" ref="V131">_xlfn.IFS(U131&lt;6,"Flat",U131&lt;=14,"Average",U131&gt;14,"Steep")</f>
        <v>Average</v>
      </c>
      <c r="W131" s="1">
        <v>-0.1</v>
      </c>
      <c r="X131" s="1">
        <v>32.200000000000003</v>
      </c>
      <c r="Y131" s="1">
        <v>56.5</v>
      </c>
    </row>
    <row r="132" spans="1:25" x14ac:dyDescent="0.3">
      <c r="A132" t="s">
        <v>292</v>
      </c>
      <c r="B132" t="s">
        <v>293</v>
      </c>
      <c r="C132" s="1">
        <v>641857</v>
      </c>
      <c r="D132" s="1" t="s">
        <v>85</v>
      </c>
      <c r="E132" s="1" t="s">
        <v>27</v>
      </c>
      <c r="F132" s="1">
        <v>6</v>
      </c>
      <c r="G132" s="1">
        <v>921</v>
      </c>
      <c r="H132" s="1">
        <v>36.9</v>
      </c>
      <c r="I132" s="1">
        <v>0.27800000000000002</v>
      </c>
      <c r="J132" s="1">
        <v>0.56999999999999995</v>
      </c>
      <c r="K132" s="1">
        <v>0.372</v>
      </c>
      <c r="L132" s="1">
        <v>0.40799999999999997</v>
      </c>
      <c r="M132" s="1">
        <v>57.8</v>
      </c>
      <c r="N132" s="1">
        <v>25.7</v>
      </c>
      <c r="O132" s="1">
        <v>23</v>
      </c>
      <c r="P132" s="1">
        <v>73.400000000000006</v>
      </c>
      <c r="Q132" s="1">
        <v>0.32300000000000001</v>
      </c>
      <c r="R132" s="1">
        <v>7</v>
      </c>
      <c r="S132" s="1" t="str" cm="1">
        <f t="array" ref="S132">_xlfn.IFS(R132&lt;6.5, "Short_Swing", R132&lt;=7.4, "Average_Swing", R132&gt;=7.5, "Long_Swing")</f>
        <v>Average_Swing</v>
      </c>
      <c r="T132" s="1">
        <v>38.799999999999997</v>
      </c>
      <c r="U132" s="1">
        <v>13.1</v>
      </c>
      <c r="V132" s="1" t="str" cm="1">
        <f t="array" ref="V132">_xlfn.IFS(U132&lt;6,"Flat",U132&lt;=14,"Average",U132&gt;14,"Steep")</f>
        <v>Average</v>
      </c>
      <c r="W132" s="1">
        <v>0.9</v>
      </c>
      <c r="X132" s="1">
        <v>26.8</v>
      </c>
      <c r="Y132" s="1">
        <v>47.5</v>
      </c>
    </row>
    <row r="133" spans="1:25" x14ac:dyDescent="0.3">
      <c r="A133" t="s">
        <v>294</v>
      </c>
      <c r="B133" t="s">
        <v>295</v>
      </c>
      <c r="C133" s="1">
        <v>643446</v>
      </c>
      <c r="D133" s="1" t="s">
        <v>44</v>
      </c>
      <c r="E133" s="1" t="s">
        <v>27</v>
      </c>
      <c r="F133" s="1">
        <v>4</v>
      </c>
      <c r="G133" s="1">
        <v>551</v>
      </c>
      <c r="H133" s="1">
        <v>32.1</v>
      </c>
      <c r="I133" s="1">
        <v>0.28699999999999998</v>
      </c>
      <c r="J133" s="1">
        <v>0.436</v>
      </c>
      <c r="K133" s="1">
        <v>0.38</v>
      </c>
      <c r="L133" s="1">
        <v>0.34499999999999997</v>
      </c>
      <c r="M133" s="1">
        <v>34.799999999999997</v>
      </c>
      <c r="N133" s="1">
        <v>11.6</v>
      </c>
      <c r="O133" s="1">
        <v>11.6</v>
      </c>
      <c r="P133" s="1">
        <v>70.599999999999994</v>
      </c>
      <c r="Q133" s="1">
        <v>8.4000000000000005E-2</v>
      </c>
      <c r="R133" s="1">
        <v>7</v>
      </c>
      <c r="S133" s="1" t="str" cm="1">
        <f t="array" ref="S133">_xlfn.IFS(R133&lt;6.5, "Short_Swing", R133&lt;=7.4, "Average_Swing", R133&gt;=7.5, "Long_Swing")</f>
        <v>Average_Swing</v>
      </c>
      <c r="T133" s="1">
        <v>33.1</v>
      </c>
      <c r="U133" s="1">
        <v>8.6</v>
      </c>
      <c r="V133" s="1" t="str" cm="1">
        <f t="array" ref="V133">_xlfn.IFS(U133&lt;6,"Flat",U133&lt;=14,"Average",U133&gt;14,"Steep")</f>
        <v>Average</v>
      </c>
      <c r="W133" s="1">
        <v>-4.9000000000000004</v>
      </c>
      <c r="X133" s="1">
        <v>29.9</v>
      </c>
      <c r="Y133" s="1">
        <v>47.3</v>
      </c>
    </row>
    <row r="134" spans="1:25" x14ac:dyDescent="0.3">
      <c r="A134" t="s">
        <v>296</v>
      </c>
      <c r="B134" t="s">
        <v>297</v>
      </c>
      <c r="C134" s="1">
        <v>805367</v>
      </c>
      <c r="D134" s="1" t="s">
        <v>88</v>
      </c>
      <c r="E134" s="1" t="s">
        <v>26</v>
      </c>
      <c r="F134" s="1">
        <v>-2</v>
      </c>
      <c r="G134" s="1">
        <v>463</v>
      </c>
      <c r="H134" s="1">
        <v>22.5</v>
      </c>
      <c r="I134" s="1">
        <v>0.28999999999999998</v>
      </c>
      <c r="J134" s="1">
        <v>0.34899999999999998</v>
      </c>
      <c r="K134" s="1">
        <v>0.32700000000000001</v>
      </c>
      <c r="L134" s="1">
        <v>0.32600000000000001</v>
      </c>
      <c r="M134" s="1">
        <v>44.2</v>
      </c>
      <c r="N134" s="1">
        <v>11.6</v>
      </c>
      <c r="O134" s="1">
        <v>11.7</v>
      </c>
      <c r="P134" s="1">
        <v>67.2</v>
      </c>
      <c r="Q134" s="1">
        <v>1.0999999999999999E-2</v>
      </c>
      <c r="R134" s="1">
        <v>6.4</v>
      </c>
      <c r="S134" s="1" t="str" cm="1">
        <f t="array" ref="S134">_xlfn.IFS(R134&lt;6.5, "Short_Swing", R134&lt;=7.4, "Average_Swing", R134&gt;=7.5, "Long_Swing")</f>
        <v>Short_Swing</v>
      </c>
      <c r="T134" s="1">
        <v>29.4</v>
      </c>
      <c r="U134" s="1">
        <v>6.7</v>
      </c>
      <c r="V134" s="1" t="str" cm="1">
        <f t="array" ref="V134">_xlfn.IFS(U134&lt;6,"Flat",U134&lt;=14,"Average",U134&gt;14,"Steep")</f>
        <v>Average</v>
      </c>
      <c r="W134" s="1">
        <v>2.1</v>
      </c>
      <c r="X134" s="1">
        <v>29.1</v>
      </c>
      <c r="Y134" s="1">
        <v>48.7</v>
      </c>
    </row>
    <row r="135" spans="1:25" x14ac:dyDescent="0.3">
      <c r="A135" t="s">
        <v>128</v>
      </c>
      <c r="B135" t="s">
        <v>298</v>
      </c>
      <c r="C135" s="1">
        <v>701538</v>
      </c>
      <c r="D135" s="1" t="s">
        <v>62</v>
      </c>
      <c r="E135" s="1" t="s">
        <v>27</v>
      </c>
      <c r="F135" s="1">
        <v>7</v>
      </c>
      <c r="G135" s="1">
        <v>589</v>
      </c>
      <c r="H135" s="1">
        <v>34.6</v>
      </c>
      <c r="I135" s="1">
        <v>0.26800000000000002</v>
      </c>
      <c r="J135" s="1">
        <v>0.56000000000000005</v>
      </c>
      <c r="K135" s="1">
        <v>0.36399999999999999</v>
      </c>
      <c r="L135" s="1">
        <v>0.38800000000000001</v>
      </c>
      <c r="M135" s="1">
        <v>54.4</v>
      </c>
      <c r="N135" s="1">
        <v>27.3</v>
      </c>
      <c r="O135" s="1">
        <v>23.7</v>
      </c>
      <c r="P135" s="1">
        <v>71.5</v>
      </c>
      <c r="Q135" s="1">
        <v>0.154</v>
      </c>
      <c r="R135" s="1">
        <v>7</v>
      </c>
      <c r="S135" s="1" t="str" cm="1">
        <f t="array" ref="S135">_xlfn.IFS(R135&lt;6.5, "Short_Swing", R135&lt;=7.4, "Average_Swing", R135&gt;=7.5, "Long_Swing")</f>
        <v>Average_Swing</v>
      </c>
      <c r="T135" s="1">
        <v>37.5</v>
      </c>
      <c r="U135" s="1">
        <v>9.8000000000000007</v>
      </c>
      <c r="V135" s="1" t="str" cm="1">
        <f t="array" ref="V135">_xlfn.IFS(U135&lt;6,"Flat",U135&lt;=14,"Average",U135&gt;14,"Steep")</f>
        <v>Average</v>
      </c>
      <c r="W135" s="1">
        <v>1.1000000000000001</v>
      </c>
      <c r="X135" s="1">
        <v>27.4</v>
      </c>
      <c r="Y135" s="1">
        <v>47.8</v>
      </c>
    </row>
    <row r="136" spans="1:25" x14ac:dyDescent="0.3">
      <c r="A136" t="s">
        <v>299</v>
      </c>
      <c r="B136" t="s">
        <v>300</v>
      </c>
      <c r="C136" s="1">
        <v>666160</v>
      </c>
      <c r="D136" s="1" t="s">
        <v>80</v>
      </c>
      <c r="E136" s="1" t="s">
        <v>27</v>
      </c>
      <c r="F136" s="1">
        <v>10</v>
      </c>
      <c r="G136" s="1">
        <v>575</v>
      </c>
      <c r="H136" s="1">
        <v>36</v>
      </c>
      <c r="I136" s="1">
        <v>0.26600000000000001</v>
      </c>
      <c r="J136" s="1">
        <v>0.53100000000000003</v>
      </c>
      <c r="K136" s="1">
        <v>0.4</v>
      </c>
      <c r="L136" s="1">
        <v>0.35299999999999998</v>
      </c>
      <c r="M136" s="1">
        <v>54.7</v>
      </c>
      <c r="N136" s="1">
        <v>26.4</v>
      </c>
      <c r="O136" s="1">
        <v>24.5</v>
      </c>
      <c r="P136" s="1">
        <v>73.400000000000006</v>
      </c>
      <c r="Q136" s="1">
        <v>0.32</v>
      </c>
      <c r="R136" s="1">
        <v>7.2</v>
      </c>
      <c r="S136" s="1" t="str" cm="1">
        <f t="array" ref="S136">_xlfn.IFS(R136&lt;6.5, "Short_Swing", R136&lt;=7.4, "Average_Swing", R136&gt;=7.5, "Long_Swing")</f>
        <v>Average_Swing</v>
      </c>
      <c r="T136" s="1">
        <v>33.6</v>
      </c>
      <c r="U136" s="1">
        <v>11.6</v>
      </c>
      <c r="V136" s="1" t="str" cm="1">
        <f t="array" ref="V136">_xlfn.IFS(U136&lt;6,"Flat",U136&lt;=14,"Average",U136&gt;14,"Steep")</f>
        <v>Average</v>
      </c>
      <c r="W136" s="1">
        <v>-4.3</v>
      </c>
      <c r="X136" s="1">
        <v>29.1</v>
      </c>
      <c r="Y136" s="1">
        <v>46.8</v>
      </c>
    </row>
    <row r="137" spans="1:25" x14ac:dyDescent="0.3">
      <c r="A137" t="s">
        <v>292</v>
      </c>
      <c r="B137" t="s">
        <v>301</v>
      </c>
      <c r="C137" s="1">
        <v>663624</v>
      </c>
      <c r="D137" s="1" t="s">
        <v>226</v>
      </c>
      <c r="E137" s="1" t="s">
        <v>27</v>
      </c>
      <c r="F137" s="1">
        <v>1</v>
      </c>
      <c r="G137" s="1">
        <v>436</v>
      </c>
      <c r="H137" s="1">
        <v>32.200000000000003</v>
      </c>
      <c r="I137" s="1">
        <v>0.25600000000000001</v>
      </c>
      <c r="J137" s="1">
        <v>0.46700000000000003</v>
      </c>
      <c r="K137" s="1">
        <v>0.33600000000000002</v>
      </c>
      <c r="L137" s="1">
        <v>0.34</v>
      </c>
      <c r="M137" s="1">
        <v>57.6</v>
      </c>
      <c r="N137" s="1">
        <v>27.8</v>
      </c>
      <c r="O137" s="1">
        <v>28.2</v>
      </c>
      <c r="P137" s="1">
        <v>74.7</v>
      </c>
      <c r="Q137" s="1">
        <v>0.495</v>
      </c>
      <c r="R137" s="1">
        <v>7</v>
      </c>
      <c r="S137" s="1" t="str" cm="1">
        <f t="array" ref="S137">_xlfn.IFS(R137&lt;6.5, "Short_Swing", R137&lt;=7.4, "Average_Swing", R137&gt;=7.5, "Long_Swing")</f>
        <v>Average_Swing</v>
      </c>
      <c r="T137" s="1">
        <v>36</v>
      </c>
      <c r="U137" s="1">
        <v>7.4</v>
      </c>
      <c r="V137" s="1" t="str" cm="1">
        <f t="array" ref="V137">_xlfn.IFS(U137&lt;6,"Flat",U137&lt;=14,"Average",U137&gt;14,"Steep")</f>
        <v>Average</v>
      </c>
      <c r="W137" s="1">
        <v>-1.1000000000000001</v>
      </c>
      <c r="X137" s="1">
        <v>27.6</v>
      </c>
      <c r="Y137" s="1">
        <v>40.4</v>
      </c>
    </row>
    <row r="138" spans="1:25" x14ac:dyDescent="0.3">
      <c r="A138" t="s">
        <v>302</v>
      </c>
      <c r="B138" t="s">
        <v>303</v>
      </c>
      <c r="C138" s="1">
        <v>656775</v>
      </c>
      <c r="D138" s="1" t="s">
        <v>44</v>
      </c>
      <c r="E138" s="1" t="s">
        <v>26</v>
      </c>
      <c r="F138" s="1">
        <v>-3</v>
      </c>
      <c r="G138" s="1">
        <v>314</v>
      </c>
      <c r="H138" s="1">
        <v>14.9</v>
      </c>
      <c r="I138" s="1">
        <v>0.23599999999999999</v>
      </c>
      <c r="J138" s="1">
        <v>0.38300000000000001</v>
      </c>
      <c r="K138" s="1">
        <v>0.31</v>
      </c>
      <c r="L138" s="1">
        <v>0.32900000000000001</v>
      </c>
      <c r="M138" s="1">
        <v>34</v>
      </c>
      <c r="N138" s="1">
        <v>13.8</v>
      </c>
      <c r="O138" s="1">
        <v>21.8</v>
      </c>
      <c r="P138" s="1">
        <v>71.400000000000006</v>
      </c>
      <c r="Q138" s="1">
        <v>0.12</v>
      </c>
      <c r="R138" s="1">
        <v>7.3</v>
      </c>
      <c r="S138" s="1" t="str" cm="1">
        <f t="array" ref="S138">_xlfn.IFS(R138&lt;6.5, "Short_Swing", R138&lt;=7.4, "Average_Swing", R138&gt;=7.5, "Long_Swing")</f>
        <v>Average_Swing</v>
      </c>
      <c r="T138" s="1">
        <v>29.2</v>
      </c>
      <c r="U138" s="1">
        <v>11.3</v>
      </c>
      <c r="V138" s="1" t="str" cm="1">
        <f t="array" ref="V138">_xlfn.IFS(U138&lt;6,"Flat",U138&lt;=14,"Average",U138&gt;14,"Steep")</f>
        <v>Average</v>
      </c>
      <c r="W138" s="1">
        <v>-6</v>
      </c>
      <c r="X138" s="1">
        <v>28.6</v>
      </c>
      <c r="Y138" s="1">
        <v>62.7</v>
      </c>
    </row>
    <row r="139" spans="1:25" x14ac:dyDescent="0.3">
      <c r="A139" t="s">
        <v>245</v>
      </c>
      <c r="B139" t="s">
        <v>304</v>
      </c>
      <c r="C139" s="1">
        <v>571970</v>
      </c>
      <c r="D139" s="1" t="s">
        <v>91</v>
      </c>
      <c r="E139" s="1" t="s">
        <v>27</v>
      </c>
      <c r="F139" s="1">
        <v>15</v>
      </c>
      <c r="G139" s="1">
        <v>467</v>
      </c>
      <c r="H139" s="1">
        <v>28.3</v>
      </c>
      <c r="I139" s="1">
        <v>0.27400000000000002</v>
      </c>
      <c r="J139" s="1">
        <v>0.64100000000000001</v>
      </c>
      <c r="K139" s="1">
        <v>0.504</v>
      </c>
      <c r="L139" s="1">
        <v>0.46400000000000002</v>
      </c>
      <c r="M139" s="1">
        <v>65.099999999999994</v>
      </c>
      <c r="N139" s="1">
        <v>14.5</v>
      </c>
      <c r="O139" s="1">
        <v>17.100000000000001</v>
      </c>
      <c r="P139" s="1">
        <v>70.5</v>
      </c>
      <c r="Q139" s="1">
        <v>0.10199999999999999</v>
      </c>
      <c r="R139" s="1">
        <v>6.6</v>
      </c>
      <c r="S139" s="1" t="str" cm="1">
        <f t="array" ref="S139">_xlfn.IFS(R139&lt;6.5, "Short_Swing", R139&lt;=7.4, "Average_Swing", R139&gt;=7.5, "Long_Swing")</f>
        <v>Average_Swing</v>
      </c>
      <c r="T139" s="1">
        <v>34.700000000000003</v>
      </c>
      <c r="U139" s="1">
        <v>17.899999999999999</v>
      </c>
      <c r="V139" s="1" t="str" cm="1">
        <f t="array" ref="V139">_xlfn.IFS(U139&lt;6,"Flat",U139&lt;=14,"Average",U139&gt;14,"Steep")</f>
        <v>Steep</v>
      </c>
      <c r="W139" s="1">
        <v>-4.8</v>
      </c>
      <c r="X139" s="1">
        <v>37.700000000000003</v>
      </c>
      <c r="Y139" s="1">
        <v>49</v>
      </c>
    </row>
    <row r="140" spans="1:25" x14ac:dyDescent="0.3">
      <c r="A140" t="s">
        <v>141</v>
      </c>
      <c r="B140" t="s">
        <v>305</v>
      </c>
      <c r="C140" s="1">
        <v>665966</v>
      </c>
      <c r="D140" s="1" t="s">
        <v>30</v>
      </c>
      <c r="E140" s="1" t="s">
        <v>26</v>
      </c>
      <c r="F140" s="1">
        <v>-5</v>
      </c>
      <c r="G140" s="1">
        <v>311</v>
      </c>
      <c r="H140" s="1">
        <v>17</v>
      </c>
      <c r="I140" s="1">
        <v>0.20300000000000001</v>
      </c>
      <c r="J140" s="1">
        <v>0.309</v>
      </c>
      <c r="K140" s="1">
        <v>0.29599999999999999</v>
      </c>
      <c r="L140" s="1">
        <v>0.27400000000000002</v>
      </c>
      <c r="M140" s="1">
        <v>44</v>
      </c>
      <c r="N140" s="1">
        <v>14.6</v>
      </c>
      <c r="O140" s="1">
        <v>19.399999999999999</v>
      </c>
      <c r="P140" s="1">
        <v>71.7</v>
      </c>
      <c r="Q140" s="1">
        <v>0.121</v>
      </c>
      <c r="R140" s="1">
        <v>7.3</v>
      </c>
      <c r="S140" s="1" t="str" cm="1">
        <f t="array" ref="S140">_xlfn.IFS(R140&lt;6.5, "Short_Swing", R140&lt;=7.4, "Average_Swing", R140&gt;=7.5, "Long_Swing")</f>
        <v>Average_Swing</v>
      </c>
      <c r="T140" s="1">
        <v>30</v>
      </c>
      <c r="U140" s="1">
        <v>9.1999999999999993</v>
      </c>
      <c r="V140" s="1" t="str" cm="1">
        <f t="array" ref="V140">_xlfn.IFS(U140&lt;6,"Flat",U140&lt;=14,"Average",U140&gt;14,"Steep")</f>
        <v>Average</v>
      </c>
      <c r="W140" s="1">
        <v>2.4</v>
      </c>
      <c r="X140" s="1">
        <v>30.6</v>
      </c>
      <c r="Y140" s="1">
        <v>54.1</v>
      </c>
    </row>
    <row r="141" spans="1:25" x14ac:dyDescent="0.3">
      <c r="A141" t="s">
        <v>92</v>
      </c>
      <c r="B141" t="s">
        <v>306</v>
      </c>
      <c r="C141" s="1">
        <v>666310</v>
      </c>
      <c r="D141" s="1" t="s">
        <v>56</v>
      </c>
      <c r="E141" s="1" t="s">
        <v>27</v>
      </c>
      <c r="F141" s="1">
        <v>-3</v>
      </c>
      <c r="G141" s="1">
        <v>536</v>
      </c>
      <c r="H141" s="1">
        <v>31.9</v>
      </c>
      <c r="I141" s="1">
        <v>0.21099999999999999</v>
      </c>
      <c r="J141" s="1">
        <v>0.42399999999999999</v>
      </c>
      <c r="K141" s="1">
        <v>0.32100000000000001</v>
      </c>
      <c r="L141" s="1">
        <v>0.32</v>
      </c>
      <c r="M141" s="1">
        <v>40.4</v>
      </c>
      <c r="N141" s="1">
        <v>16.5</v>
      </c>
      <c r="O141" s="1">
        <v>15.2</v>
      </c>
      <c r="P141" s="1">
        <v>72.400000000000006</v>
      </c>
      <c r="Q141" s="1">
        <v>0.20799999999999999</v>
      </c>
      <c r="R141" s="1">
        <v>7.3</v>
      </c>
      <c r="S141" s="1" t="str" cm="1">
        <f t="array" ref="S141">_xlfn.IFS(R141&lt;6.5, "Short_Swing", R141&lt;=7.4, "Average_Swing", R141&gt;=7.5, "Long_Swing")</f>
        <v>Average_Swing</v>
      </c>
      <c r="T141" s="1">
        <v>31.9</v>
      </c>
      <c r="U141" s="1">
        <v>13.6</v>
      </c>
      <c r="V141" s="1" t="str" cm="1">
        <f t="array" ref="V141">_xlfn.IFS(U141&lt;6,"Flat",U141&lt;=14,"Average",U141&gt;14,"Steep")</f>
        <v>Average</v>
      </c>
      <c r="W141" s="1">
        <v>-8.3000000000000007</v>
      </c>
      <c r="X141" s="1">
        <v>35.200000000000003</v>
      </c>
      <c r="Y141" s="1">
        <v>53</v>
      </c>
    </row>
    <row r="142" spans="1:25" x14ac:dyDescent="0.3">
      <c r="A142" t="s">
        <v>81</v>
      </c>
      <c r="B142" t="s">
        <v>306</v>
      </c>
      <c r="C142" s="1">
        <v>647304</v>
      </c>
      <c r="D142" s="1" t="s">
        <v>59</v>
      </c>
      <c r="E142" s="1" t="s">
        <v>27</v>
      </c>
      <c r="F142" s="1">
        <v>8</v>
      </c>
      <c r="G142" s="1">
        <v>523</v>
      </c>
      <c r="H142" s="1">
        <v>26</v>
      </c>
      <c r="I142" s="1">
        <v>0.29899999999999999</v>
      </c>
      <c r="J142" s="1">
        <v>0.47299999999999998</v>
      </c>
      <c r="K142" s="1">
        <v>0.39800000000000002</v>
      </c>
      <c r="L142" s="1">
        <v>0.372</v>
      </c>
      <c r="M142" s="1">
        <v>44.8</v>
      </c>
      <c r="N142" s="1">
        <v>14.7</v>
      </c>
      <c r="O142" s="1">
        <v>6.7</v>
      </c>
      <c r="P142" s="1">
        <v>70.599999999999994</v>
      </c>
      <c r="Q142" s="1">
        <v>0.16500000000000001</v>
      </c>
      <c r="R142" s="1">
        <v>7</v>
      </c>
      <c r="S142" s="1" t="str" cm="1">
        <f t="array" ref="S142">_xlfn.IFS(R142&lt;6.5, "Short_Swing", R142&lt;=7.4, "Average_Swing", R142&gt;=7.5, "Long_Swing")</f>
        <v>Average_Swing</v>
      </c>
      <c r="T142" s="1">
        <v>31.4</v>
      </c>
      <c r="U142" s="1">
        <v>7.5</v>
      </c>
      <c r="V142" s="1" t="str" cm="1">
        <f t="array" ref="V142">_xlfn.IFS(U142&lt;6,"Flat",U142&lt;=14,"Average",U142&gt;14,"Steep")</f>
        <v>Average</v>
      </c>
      <c r="W142" s="1">
        <v>-8.3000000000000007</v>
      </c>
      <c r="X142" s="1">
        <v>25.3</v>
      </c>
      <c r="Y142" s="1">
        <v>44</v>
      </c>
    </row>
    <row r="143" spans="1:25" x14ac:dyDescent="0.3">
      <c r="A143" t="s">
        <v>289</v>
      </c>
      <c r="B143" t="s">
        <v>307</v>
      </c>
      <c r="C143" s="1">
        <v>687263</v>
      </c>
      <c r="D143" s="1" t="s">
        <v>39</v>
      </c>
      <c r="E143" s="1" t="s">
        <v>27</v>
      </c>
      <c r="F143" s="1">
        <v>-1</v>
      </c>
      <c r="G143" s="1">
        <v>477</v>
      </c>
      <c r="H143" s="1">
        <v>22</v>
      </c>
      <c r="I143" s="1">
        <v>0.253</v>
      </c>
      <c r="J143" s="1">
        <v>0.60199999999999998</v>
      </c>
      <c r="K143" s="1">
        <v>0.33600000000000002</v>
      </c>
      <c r="L143" s="1">
        <v>0.38400000000000001</v>
      </c>
      <c r="M143" s="1">
        <v>58.8</v>
      </c>
      <c r="N143" s="1">
        <v>20.2</v>
      </c>
      <c r="O143" s="1">
        <v>25.9</v>
      </c>
      <c r="P143" s="1">
        <v>71.099999999999994</v>
      </c>
      <c r="Q143" s="1">
        <v>0.121</v>
      </c>
      <c r="R143" s="1">
        <v>6.7</v>
      </c>
      <c r="S143" s="1" t="str" cm="1">
        <f t="array" ref="S143">_xlfn.IFS(R143&lt;6.5, "Short_Swing", R143&lt;=7.4, "Average_Swing", R143&gt;=7.5, "Long_Swing")</f>
        <v>Average_Swing</v>
      </c>
      <c r="T143" s="1">
        <v>39</v>
      </c>
      <c r="U143" s="1">
        <v>18.100000000000001</v>
      </c>
      <c r="V143" s="1" t="str" cm="1">
        <f t="array" ref="V143">_xlfn.IFS(U143&lt;6,"Flat",U143&lt;=14,"Average",U143&gt;14,"Steep")</f>
        <v>Steep</v>
      </c>
      <c r="W143" s="1">
        <v>-5.7</v>
      </c>
      <c r="X143" s="1">
        <v>36.299999999999997</v>
      </c>
      <c r="Y143" s="1">
        <v>48.2</v>
      </c>
    </row>
    <row r="144" spans="1:25" x14ac:dyDescent="0.3">
      <c r="A144" t="s">
        <v>273</v>
      </c>
      <c r="B144" t="s">
        <v>308</v>
      </c>
      <c r="C144" s="1">
        <v>607043</v>
      </c>
      <c r="D144" s="1" t="s">
        <v>44</v>
      </c>
      <c r="E144" s="1" t="s">
        <v>27</v>
      </c>
      <c r="F144" s="1">
        <v>-5</v>
      </c>
      <c r="G144" s="1">
        <v>954</v>
      </c>
      <c r="H144" s="1">
        <v>36.700000000000003</v>
      </c>
      <c r="I144" s="1">
        <v>0.251</v>
      </c>
      <c r="J144" s="1">
        <v>0.44900000000000001</v>
      </c>
      <c r="K144" s="1">
        <v>0.33</v>
      </c>
      <c r="L144" s="1">
        <v>0.34899999999999998</v>
      </c>
      <c r="M144" s="1">
        <v>51.8</v>
      </c>
      <c r="N144" s="1">
        <v>23</v>
      </c>
      <c r="O144" s="1">
        <v>22.6</v>
      </c>
      <c r="P144" s="1">
        <v>71.599999999999994</v>
      </c>
      <c r="Q144" s="1">
        <v>0.20599999999999999</v>
      </c>
      <c r="R144" s="1">
        <v>6.8</v>
      </c>
      <c r="S144" s="1" t="str" cm="1">
        <f t="array" ref="S144">_xlfn.IFS(R144&lt;6.5, "Short_Swing", R144&lt;=7.4, "Average_Swing", R144&gt;=7.5, "Long_Swing")</f>
        <v>Average_Swing</v>
      </c>
      <c r="T144" s="1">
        <v>29.1</v>
      </c>
      <c r="U144" s="1">
        <v>6.6</v>
      </c>
      <c r="V144" s="1" t="str" cm="1">
        <f t="array" ref="V144">_xlfn.IFS(U144&lt;6,"Flat",U144&lt;=14,"Average",U144&gt;14,"Steep")</f>
        <v>Average</v>
      </c>
      <c r="W144" s="1">
        <v>2.1</v>
      </c>
      <c r="X144" s="1">
        <v>26.9</v>
      </c>
      <c r="Y144" s="1">
        <v>47.9</v>
      </c>
    </row>
    <row r="145" spans="1:25" x14ac:dyDescent="0.3">
      <c r="A145" t="s">
        <v>309</v>
      </c>
      <c r="B145" t="s">
        <v>310</v>
      </c>
      <c r="C145" s="1">
        <v>663457</v>
      </c>
      <c r="D145" s="1" t="s">
        <v>53</v>
      </c>
      <c r="E145" s="1" t="s">
        <v>26</v>
      </c>
      <c r="F145" s="1">
        <v>-4</v>
      </c>
      <c r="G145" s="1">
        <v>420</v>
      </c>
      <c r="H145" s="1">
        <v>17.8</v>
      </c>
      <c r="I145" s="1">
        <v>0.23100000000000001</v>
      </c>
      <c r="J145" s="1">
        <v>0.37</v>
      </c>
      <c r="K145" s="1">
        <v>0.318</v>
      </c>
      <c r="L145" s="1">
        <v>0.313</v>
      </c>
      <c r="M145" s="1">
        <v>47.5</v>
      </c>
      <c r="N145" s="1">
        <v>9.8000000000000007</v>
      </c>
      <c r="O145" s="1">
        <v>16.100000000000001</v>
      </c>
      <c r="P145" s="1">
        <v>73.2</v>
      </c>
      <c r="Q145" s="1">
        <v>0.34799999999999998</v>
      </c>
      <c r="R145" s="1">
        <v>6.5</v>
      </c>
      <c r="S145" s="1" t="str" cm="1">
        <f t="array" ref="S145">_xlfn.IFS(R145&lt;6.5, "Short_Swing", R145&lt;=7.4, "Average_Swing", R145&gt;=7.5, "Long_Swing")</f>
        <v>Average_Swing</v>
      </c>
      <c r="T145" s="1">
        <v>28</v>
      </c>
      <c r="U145" s="1">
        <v>9.1999999999999993</v>
      </c>
      <c r="V145" s="1" t="str" cm="1">
        <f t="array" ref="V145">_xlfn.IFS(U145&lt;6,"Flat",U145&lt;=14,"Average",U145&gt;14,"Steep")</f>
        <v>Average</v>
      </c>
      <c r="W145" s="1">
        <v>-3.1</v>
      </c>
      <c r="X145" s="1">
        <v>34.700000000000003</v>
      </c>
      <c r="Y145" s="1">
        <v>55.4</v>
      </c>
    </row>
    <row r="146" spans="1:25" x14ac:dyDescent="0.3">
      <c r="A146" t="s">
        <v>292</v>
      </c>
      <c r="B146" t="s">
        <v>311</v>
      </c>
      <c r="C146" s="1">
        <v>656811</v>
      </c>
      <c r="D146" s="1" t="s">
        <v>62</v>
      </c>
      <c r="E146" s="1" t="s">
        <v>27</v>
      </c>
      <c r="F146" s="1">
        <v>5</v>
      </c>
      <c r="G146" s="1">
        <v>685</v>
      </c>
      <c r="H146" s="1">
        <v>31.7</v>
      </c>
      <c r="I146" s="1">
        <v>0.313</v>
      </c>
      <c r="J146" s="1">
        <v>0.54600000000000004</v>
      </c>
      <c r="K146" s="1">
        <v>0.39200000000000002</v>
      </c>
      <c r="L146" s="1">
        <v>0.4</v>
      </c>
      <c r="M146" s="1">
        <v>49.6</v>
      </c>
      <c r="N146" s="1">
        <v>17.8</v>
      </c>
      <c r="O146" s="1">
        <v>16.2</v>
      </c>
      <c r="P146" s="1">
        <v>71.5</v>
      </c>
      <c r="Q146" s="1">
        <v>0.152</v>
      </c>
      <c r="R146" s="1">
        <v>6.5</v>
      </c>
      <c r="S146" s="1" t="str" cm="1">
        <f t="array" ref="S146">_xlfn.IFS(R146&lt;6.5, "Short_Swing", R146&lt;=7.4, "Average_Swing", R146&gt;=7.5, "Long_Swing")</f>
        <v>Average_Swing</v>
      </c>
      <c r="T146" s="1">
        <v>33.4</v>
      </c>
      <c r="U146" s="1">
        <v>11.2</v>
      </c>
      <c r="V146" s="1" t="str" cm="1">
        <f t="array" ref="V146">_xlfn.IFS(U146&lt;6,"Flat",U146&lt;=14,"Average",U146&gt;14,"Steep")</f>
        <v>Average</v>
      </c>
      <c r="W146" s="1">
        <v>1.7</v>
      </c>
      <c r="X146" s="1">
        <v>26.3</v>
      </c>
      <c r="Y146" s="1">
        <v>43.3</v>
      </c>
    </row>
    <row r="147" spans="1:25" x14ac:dyDescent="0.3">
      <c r="A147" t="s">
        <v>312</v>
      </c>
      <c r="B147" t="s">
        <v>313</v>
      </c>
      <c r="C147" s="1">
        <v>681351</v>
      </c>
      <c r="D147" s="1" t="s">
        <v>39</v>
      </c>
      <c r="E147" s="1" t="s">
        <v>26</v>
      </c>
      <c r="F147" s="1">
        <v>-6</v>
      </c>
      <c r="G147" s="1">
        <v>309</v>
      </c>
      <c r="H147" s="1">
        <v>17.600000000000001</v>
      </c>
      <c r="I147" s="1">
        <v>0.26100000000000001</v>
      </c>
      <c r="J147" s="1">
        <v>0.372</v>
      </c>
      <c r="K147" s="1">
        <v>0.316</v>
      </c>
      <c r="L147" s="1">
        <v>0.30599999999999999</v>
      </c>
      <c r="M147" s="1">
        <v>46.2</v>
      </c>
      <c r="N147" s="1">
        <v>19.399999999999999</v>
      </c>
      <c r="O147" s="1">
        <v>19.100000000000001</v>
      </c>
      <c r="P147" s="1">
        <v>71.2</v>
      </c>
      <c r="Q147" s="1">
        <v>0.159</v>
      </c>
      <c r="R147" s="1">
        <v>7.2</v>
      </c>
      <c r="S147" s="1" t="str" cm="1">
        <f t="array" ref="S147">_xlfn.IFS(R147&lt;6.5, "Short_Swing", R147&lt;=7.4, "Average_Swing", R147&gt;=7.5, "Long_Swing")</f>
        <v>Average_Swing</v>
      </c>
      <c r="T147" s="1">
        <v>32.9</v>
      </c>
      <c r="U147" s="1">
        <v>15.7</v>
      </c>
      <c r="V147" s="1" t="str" cm="1">
        <f t="array" ref="V147">_xlfn.IFS(U147&lt;6,"Flat",U147&lt;=14,"Average",U147&gt;14,"Steep")</f>
        <v>Steep</v>
      </c>
      <c r="W147" s="1">
        <v>-3.7</v>
      </c>
      <c r="X147" s="1">
        <v>33.6</v>
      </c>
      <c r="Y147" s="1">
        <v>52.2</v>
      </c>
    </row>
    <row r="148" spans="1:25" x14ac:dyDescent="0.3">
      <c r="A148" t="s">
        <v>314</v>
      </c>
      <c r="B148" t="s">
        <v>315</v>
      </c>
      <c r="C148" s="1">
        <v>660271</v>
      </c>
      <c r="D148" s="1" t="s">
        <v>91</v>
      </c>
      <c r="E148" s="1" t="s">
        <v>26</v>
      </c>
      <c r="F148" s="1">
        <v>11</v>
      </c>
      <c r="G148" s="1">
        <v>398</v>
      </c>
      <c r="H148" s="1">
        <v>13.9</v>
      </c>
      <c r="I148" s="1">
        <v>0.28799999999999998</v>
      </c>
      <c r="J148" s="1">
        <v>0.67700000000000005</v>
      </c>
      <c r="K148" s="1">
        <v>0.47099999999999997</v>
      </c>
      <c r="L148" s="1">
        <v>0.44700000000000001</v>
      </c>
      <c r="M148" s="1">
        <v>54</v>
      </c>
      <c r="N148" s="1">
        <v>21</v>
      </c>
      <c r="O148" s="1">
        <v>21.2</v>
      </c>
      <c r="P148" s="1">
        <v>75.8</v>
      </c>
      <c r="Q148" s="1">
        <v>0.623</v>
      </c>
      <c r="R148" s="1">
        <v>7.5</v>
      </c>
      <c r="S148" s="1" t="str" cm="1">
        <f t="array" ref="S148">_xlfn.IFS(R148&lt;6.5, "Short_Swing", R148&lt;=7.4, "Average_Swing", R148&gt;=7.5, "Long_Swing")</f>
        <v>Long_Swing</v>
      </c>
      <c r="T148" s="1">
        <v>36.9</v>
      </c>
      <c r="U148" s="1">
        <v>15</v>
      </c>
      <c r="V148" s="1" t="str" cm="1">
        <f t="array" ref="V148">_xlfn.IFS(U148&lt;6,"Flat",U148&lt;=14,"Average",U148&gt;14,"Steep")</f>
        <v>Steep</v>
      </c>
      <c r="W148" s="1">
        <v>-2</v>
      </c>
      <c r="X148" s="1">
        <v>27.6</v>
      </c>
      <c r="Y148" s="1">
        <v>53.3</v>
      </c>
    </row>
    <row r="149" spans="1:25" x14ac:dyDescent="0.3">
      <c r="A149" t="s">
        <v>124</v>
      </c>
      <c r="B149" t="s">
        <v>316</v>
      </c>
      <c r="C149" s="1">
        <v>621566</v>
      </c>
      <c r="D149" s="1" t="s">
        <v>33</v>
      </c>
      <c r="E149" s="1" t="s">
        <v>26</v>
      </c>
      <c r="F149" s="1">
        <v>6</v>
      </c>
      <c r="G149" s="1">
        <v>463</v>
      </c>
      <c r="H149" s="1">
        <v>14.6</v>
      </c>
      <c r="I149" s="1">
        <v>0.315</v>
      </c>
      <c r="J149" s="1">
        <v>0.54200000000000004</v>
      </c>
      <c r="K149" s="1">
        <v>0.41</v>
      </c>
      <c r="L149" s="1">
        <v>0.41099999999999998</v>
      </c>
      <c r="M149" s="1">
        <v>56.3</v>
      </c>
      <c r="N149" s="1">
        <v>21.2</v>
      </c>
      <c r="O149" s="1">
        <v>14.6</v>
      </c>
      <c r="P149" s="1">
        <v>73.5</v>
      </c>
      <c r="Q149" s="1">
        <v>0.35899999999999999</v>
      </c>
      <c r="R149" s="1">
        <v>7.1</v>
      </c>
      <c r="S149" s="1" t="str" cm="1">
        <f t="array" ref="S149">_xlfn.IFS(R149&lt;6.5, "Short_Swing", R149&lt;=7.4, "Average_Swing", R149&gt;=7.5, "Long_Swing")</f>
        <v>Average_Swing</v>
      </c>
      <c r="T149" s="1">
        <v>33.9</v>
      </c>
      <c r="U149" s="1">
        <v>8.6999999999999993</v>
      </c>
      <c r="V149" s="1" t="str" cm="1">
        <f t="array" ref="V149">_xlfn.IFS(U149&lt;6,"Flat",U149&lt;=14,"Average",U149&gt;14,"Steep")</f>
        <v>Average</v>
      </c>
      <c r="W149" s="1">
        <v>1.1000000000000001</v>
      </c>
      <c r="X149" s="1">
        <v>32.5</v>
      </c>
      <c r="Y149" s="1">
        <v>48.2</v>
      </c>
    </row>
    <row r="150" spans="1:25" x14ac:dyDescent="0.3">
      <c r="A150" t="s">
        <v>317</v>
      </c>
      <c r="B150" t="s">
        <v>318</v>
      </c>
      <c r="C150" s="1">
        <v>687401</v>
      </c>
      <c r="D150" s="1" t="s">
        <v>130</v>
      </c>
      <c r="E150" s="1" t="s">
        <v>27</v>
      </c>
      <c r="F150" s="1">
        <v>3</v>
      </c>
      <c r="G150" s="1">
        <v>576</v>
      </c>
      <c r="H150" s="1">
        <v>30.8</v>
      </c>
      <c r="I150" s="1">
        <v>0.24099999999999999</v>
      </c>
      <c r="J150" s="1">
        <v>0.35399999999999998</v>
      </c>
      <c r="K150" s="1">
        <v>0.36199999999999999</v>
      </c>
      <c r="L150" s="1">
        <v>0.29599999999999999</v>
      </c>
      <c r="M150" s="1">
        <v>42.3</v>
      </c>
      <c r="N150" s="1">
        <v>15.2</v>
      </c>
      <c r="O150" s="1">
        <v>18.2</v>
      </c>
      <c r="P150" s="1">
        <v>72.7</v>
      </c>
      <c r="Q150" s="1">
        <v>0.251</v>
      </c>
      <c r="R150" s="1">
        <v>7.1</v>
      </c>
      <c r="S150" s="1" t="str" cm="1">
        <f t="array" ref="S150">_xlfn.IFS(R150&lt;6.5, "Short_Swing", R150&lt;=7.4, "Average_Swing", R150&gt;=7.5, "Long_Swing")</f>
        <v>Average_Swing</v>
      </c>
      <c r="T150" s="1">
        <v>27.8</v>
      </c>
      <c r="U150" s="1">
        <v>1.7</v>
      </c>
      <c r="V150" s="1" t="str" cm="1">
        <f t="array" ref="V150">_xlfn.IFS(U150&lt;6,"Flat",U150&lt;=14,"Average",U150&gt;14,"Steep")</f>
        <v>Flat</v>
      </c>
      <c r="W150" s="1">
        <v>-1.8</v>
      </c>
      <c r="X150" s="1">
        <v>29.1</v>
      </c>
      <c r="Y150" s="1">
        <v>33.299999999999997</v>
      </c>
    </row>
    <row r="151" spans="1:25" x14ac:dyDescent="0.3">
      <c r="A151" t="s">
        <v>319</v>
      </c>
      <c r="B151" t="s">
        <v>320</v>
      </c>
      <c r="C151" s="1">
        <v>542303</v>
      </c>
      <c r="D151" s="1" t="s">
        <v>33</v>
      </c>
      <c r="E151" s="1" t="s">
        <v>27</v>
      </c>
      <c r="F151" s="1">
        <v>4</v>
      </c>
      <c r="G151" s="1">
        <v>726</v>
      </c>
      <c r="H151" s="1">
        <v>27.6</v>
      </c>
      <c r="I151" s="1">
        <v>0.28100000000000003</v>
      </c>
      <c r="J151" s="1">
        <v>0.54400000000000004</v>
      </c>
      <c r="K151" s="1">
        <v>0.35799999999999998</v>
      </c>
      <c r="L151" s="1">
        <v>0.40699999999999997</v>
      </c>
      <c r="M151" s="1">
        <v>54.3</v>
      </c>
      <c r="N151" s="1">
        <v>20.3</v>
      </c>
      <c r="O151" s="1">
        <v>18.899999999999999</v>
      </c>
      <c r="P151" s="1">
        <v>72.2</v>
      </c>
      <c r="Q151" s="1">
        <v>0.26400000000000001</v>
      </c>
      <c r="R151" s="1">
        <v>6.8</v>
      </c>
      <c r="S151" s="1" t="str" cm="1">
        <f t="array" ref="S151">_xlfn.IFS(R151&lt;6.5, "Short_Swing", R151&lt;=7.4, "Average_Swing", R151&gt;=7.5, "Long_Swing")</f>
        <v>Average_Swing</v>
      </c>
      <c r="T151" s="1">
        <v>36.799999999999997</v>
      </c>
      <c r="U151" s="1">
        <v>13.9</v>
      </c>
      <c r="V151" s="1" t="str" cm="1">
        <f t="array" ref="V151">_xlfn.IFS(U151&lt;6,"Flat",U151&lt;=14,"Average",U151&gt;14,"Steep")</f>
        <v>Average</v>
      </c>
      <c r="W151" s="1">
        <v>-0.9</v>
      </c>
      <c r="X151" s="1">
        <v>32.4</v>
      </c>
      <c r="Y151" s="1">
        <v>53</v>
      </c>
    </row>
    <row r="152" spans="1:25" x14ac:dyDescent="0.3">
      <c r="A152" t="s">
        <v>321</v>
      </c>
      <c r="B152" t="s">
        <v>322</v>
      </c>
      <c r="C152" s="1">
        <v>686780</v>
      </c>
      <c r="D152" s="1" t="s">
        <v>53</v>
      </c>
      <c r="E152" s="1" t="s">
        <v>26</v>
      </c>
      <c r="F152" s="1">
        <v>-2</v>
      </c>
      <c r="G152" s="1">
        <v>306</v>
      </c>
      <c r="H152" s="1">
        <v>20.6</v>
      </c>
      <c r="I152" s="1">
        <v>0.246</v>
      </c>
      <c r="J152" s="1">
        <v>0.38200000000000001</v>
      </c>
      <c r="K152" s="1">
        <v>0.32800000000000001</v>
      </c>
      <c r="L152" s="1">
        <v>0.315</v>
      </c>
      <c r="M152" s="1">
        <v>32.799999999999997</v>
      </c>
      <c r="N152" s="1">
        <v>12.2</v>
      </c>
      <c r="O152" s="1">
        <v>9.5</v>
      </c>
      <c r="P152" s="1">
        <v>71.900000000000006</v>
      </c>
      <c r="Q152" s="1">
        <v>0.23699999999999999</v>
      </c>
      <c r="R152" s="1">
        <v>6.5</v>
      </c>
      <c r="S152" s="1" t="str" cm="1">
        <f t="array" ref="S152">_xlfn.IFS(R152&lt;6.5, "Short_Swing", R152&lt;=7.4, "Average_Swing", R152&gt;=7.5, "Long_Swing")</f>
        <v>Average_Swing</v>
      </c>
      <c r="T152" s="1">
        <v>30.4</v>
      </c>
      <c r="U152" s="1">
        <v>7.1</v>
      </c>
      <c r="V152" s="1" t="str" cm="1">
        <f t="array" ref="V152">_xlfn.IFS(U152&lt;6,"Flat",U152&lt;=14,"Average",U152&gt;14,"Steep")</f>
        <v>Average</v>
      </c>
      <c r="W152" s="1">
        <v>-3</v>
      </c>
      <c r="X152" s="1">
        <v>36</v>
      </c>
      <c r="Y152" s="1">
        <v>41.1</v>
      </c>
    </row>
    <row r="153" spans="1:25" x14ac:dyDescent="0.3">
      <c r="A153" t="s">
        <v>323</v>
      </c>
      <c r="B153" t="s">
        <v>324</v>
      </c>
      <c r="C153" s="1">
        <v>681624</v>
      </c>
      <c r="D153" s="1" t="s">
        <v>91</v>
      </c>
      <c r="E153" s="1" t="s">
        <v>26</v>
      </c>
      <c r="F153" s="1">
        <v>-4</v>
      </c>
      <c r="G153" s="1">
        <v>458</v>
      </c>
      <c r="H153" s="1">
        <v>19.399999999999999</v>
      </c>
      <c r="I153" s="1">
        <v>0.247</v>
      </c>
      <c r="J153" s="1">
        <v>0.38500000000000001</v>
      </c>
      <c r="K153" s="1">
        <v>0.312</v>
      </c>
      <c r="L153" s="1">
        <v>0.3</v>
      </c>
      <c r="M153" s="1">
        <v>43.5</v>
      </c>
      <c r="N153" s="1">
        <v>16.2</v>
      </c>
      <c r="O153" s="1">
        <v>17.399999999999999</v>
      </c>
      <c r="P153" s="1">
        <v>72.7</v>
      </c>
      <c r="Q153" s="1">
        <v>0.23499999999999999</v>
      </c>
      <c r="R153" s="1">
        <v>7.6</v>
      </c>
      <c r="S153" s="1" t="str" cm="1">
        <f t="array" ref="S153">_xlfn.IFS(R153&lt;6.5, "Short_Swing", R153&lt;=7.4, "Average_Swing", R153&gt;=7.5, "Long_Swing")</f>
        <v>Long_Swing</v>
      </c>
      <c r="T153" s="1">
        <v>40.6</v>
      </c>
      <c r="U153" s="1">
        <v>7.8</v>
      </c>
      <c r="V153" s="1" t="str" cm="1">
        <f t="array" ref="V153">_xlfn.IFS(U153&lt;6,"Flat",U153&lt;=14,"Average",U153&gt;14,"Steep")</f>
        <v>Average</v>
      </c>
      <c r="W153" s="1">
        <v>-4</v>
      </c>
      <c r="X153" s="1">
        <v>31.3</v>
      </c>
      <c r="Y153" s="1">
        <v>48.3</v>
      </c>
    </row>
    <row r="154" spans="1:25" x14ac:dyDescent="0.3">
      <c r="A154" t="s">
        <v>135</v>
      </c>
      <c r="B154" t="s">
        <v>325</v>
      </c>
      <c r="C154" s="1">
        <v>670623</v>
      </c>
      <c r="D154" s="1" t="s">
        <v>47</v>
      </c>
      <c r="E154" s="1" t="s">
        <v>27</v>
      </c>
      <c r="F154" s="1">
        <v>6</v>
      </c>
      <c r="G154" s="1">
        <v>532</v>
      </c>
      <c r="H154" s="1">
        <v>27.4</v>
      </c>
      <c r="I154" s="1">
        <v>0.26100000000000001</v>
      </c>
      <c r="J154" s="1">
        <v>0.45300000000000001</v>
      </c>
      <c r="K154" s="1">
        <v>0.39700000000000002</v>
      </c>
      <c r="L154" s="1">
        <v>0.35799999999999998</v>
      </c>
      <c r="M154" s="1">
        <v>32</v>
      </c>
      <c r="N154" s="1">
        <v>12.4</v>
      </c>
      <c r="O154" s="1">
        <v>14.2</v>
      </c>
      <c r="P154" s="1">
        <v>69.400000000000006</v>
      </c>
      <c r="Q154" s="1">
        <v>0.1</v>
      </c>
      <c r="R154" s="1">
        <v>7.9</v>
      </c>
      <c r="S154" s="1" t="str" cm="1">
        <f t="array" ref="S154">_xlfn.IFS(R154&lt;6.5, "Short_Swing", R154&lt;=7.4, "Average_Swing", R154&gt;=7.5, "Long_Swing")</f>
        <v>Long_Swing</v>
      </c>
      <c r="T154" s="1">
        <v>32.5</v>
      </c>
      <c r="U154" s="1">
        <v>15.6</v>
      </c>
      <c r="V154" s="1" t="str" cm="1">
        <f t="array" ref="V154">_xlfn.IFS(U154&lt;6,"Flat",U154&lt;=14,"Average",U154&gt;14,"Steep")</f>
        <v>Steep</v>
      </c>
      <c r="W154" s="1">
        <v>-15.4</v>
      </c>
      <c r="X154" s="1">
        <v>37.799999999999997</v>
      </c>
      <c r="Y154" s="1">
        <v>55.6</v>
      </c>
    </row>
    <row r="155" spans="1:25" x14ac:dyDescent="0.3">
      <c r="A155" t="s">
        <v>326</v>
      </c>
      <c r="B155" t="s">
        <v>327</v>
      </c>
      <c r="C155" s="1">
        <v>686469</v>
      </c>
      <c r="D155" s="1" t="s">
        <v>184</v>
      </c>
      <c r="E155" s="1" t="s">
        <v>27</v>
      </c>
      <c r="F155" s="1">
        <v>3</v>
      </c>
      <c r="G155" s="1">
        <v>875</v>
      </c>
      <c r="H155" s="1">
        <v>34</v>
      </c>
      <c r="I155" s="1">
        <v>0.255</v>
      </c>
      <c r="J155" s="1">
        <v>0.505</v>
      </c>
      <c r="K155" s="1">
        <v>0.36099999999999999</v>
      </c>
      <c r="L155" s="1">
        <v>0.34599999999999997</v>
      </c>
      <c r="M155" s="1">
        <v>43.7</v>
      </c>
      <c r="N155" s="1">
        <v>11.5</v>
      </c>
      <c r="O155" s="1">
        <v>13</v>
      </c>
      <c r="P155" s="1">
        <v>71.7</v>
      </c>
      <c r="Q155" s="1">
        <v>0.19900000000000001</v>
      </c>
      <c r="R155" s="1">
        <v>6.9</v>
      </c>
      <c r="S155" s="1" t="str" cm="1">
        <f t="array" ref="S155">_xlfn.IFS(R155&lt;6.5, "Short_Swing", R155&lt;=7.4, "Average_Swing", R155&gt;=7.5, "Long_Swing")</f>
        <v>Average_Swing</v>
      </c>
      <c r="T155" s="1">
        <v>29.4</v>
      </c>
      <c r="U155" s="1">
        <v>9.8000000000000007</v>
      </c>
      <c r="V155" s="1" t="str" cm="1">
        <f t="array" ref="V155">_xlfn.IFS(U155&lt;6,"Flat",U155&lt;=14,"Average",U155&gt;14,"Steep")</f>
        <v>Average</v>
      </c>
      <c r="W155" s="1">
        <v>-9.1999999999999993</v>
      </c>
      <c r="X155" s="1">
        <v>32.1</v>
      </c>
      <c r="Y155" s="1">
        <v>55.5</v>
      </c>
    </row>
    <row r="156" spans="1:25" x14ac:dyDescent="0.3">
      <c r="A156" t="s">
        <v>328</v>
      </c>
      <c r="B156" t="s">
        <v>329</v>
      </c>
      <c r="C156" s="1">
        <v>665161</v>
      </c>
      <c r="D156" s="1" t="s">
        <v>47</v>
      </c>
      <c r="E156" s="1" t="s">
        <v>26</v>
      </c>
      <c r="F156" s="1">
        <v>7</v>
      </c>
      <c r="G156" s="1">
        <v>381</v>
      </c>
      <c r="H156" s="1">
        <v>21.4</v>
      </c>
      <c r="I156" s="1">
        <v>0.32800000000000001</v>
      </c>
      <c r="J156" s="1">
        <v>0.46100000000000002</v>
      </c>
      <c r="K156" s="1">
        <v>0.433</v>
      </c>
      <c r="L156" s="1">
        <v>0.38</v>
      </c>
      <c r="M156" s="1">
        <v>56.8</v>
      </c>
      <c r="N156" s="1">
        <v>8.3000000000000007</v>
      </c>
      <c r="O156" s="1">
        <v>8.3000000000000007</v>
      </c>
      <c r="P156" s="1">
        <v>72.099999999999994</v>
      </c>
      <c r="Q156" s="1">
        <v>0.13600000000000001</v>
      </c>
      <c r="R156" s="1">
        <v>7.1</v>
      </c>
      <c r="S156" s="1" t="str" cm="1">
        <f t="array" ref="S156">_xlfn.IFS(R156&lt;6.5, "Short_Swing", R156&lt;=7.4, "Average_Swing", R156&gt;=7.5, "Long_Swing")</f>
        <v>Average_Swing</v>
      </c>
      <c r="T156" s="1">
        <v>30.4</v>
      </c>
      <c r="U156" s="1">
        <v>10.9</v>
      </c>
      <c r="V156" s="1" t="str" cm="1">
        <f t="array" ref="V156">_xlfn.IFS(U156&lt;6,"Flat",U156&lt;=14,"Average",U156&gt;14,"Steep")</f>
        <v>Average</v>
      </c>
      <c r="W156" s="1">
        <v>-8.1999999999999993</v>
      </c>
      <c r="X156" s="1">
        <v>32</v>
      </c>
      <c r="Y156" s="1">
        <v>62.8</v>
      </c>
    </row>
    <row r="157" spans="1:25" x14ac:dyDescent="0.3">
      <c r="A157" t="s">
        <v>330</v>
      </c>
      <c r="B157" t="s">
        <v>331</v>
      </c>
      <c r="C157" s="1">
        <v>672695</v>
      </c>
      <c r="D157" s="1" t="s">
        <v>119</v>
      </c>
      <c r="E157" s="1" t="s">
        <v>27</v>
      </c>
      <c r="F157" s="1">
        <v>11</v>
      </c>
      <c r="G157" s="1">
        <v>1238</v>
      </c>
      <c r="H157" s="1">
        <v>41.2</v>
      </c>
      <c r="I157" s="1">
        <v>0.29099999999999998</v>
      </c>
      <c r="J157" s="1">
        <v>0.45100000000000001</v>
      </c>
      <c r="K157" s="1">
        <v>0.38700000000000001</v>
      </c>
      <c r="L157" s="1">
        <v>0.378</v>
      </c>
      <c r="M157" s="1">
        <v>28.4</v>
      </c>
      <c r="N157" s="1">
        <v>10.7</v>
      </c>
      <c r="O157" s="1">
        <v>9.6999999999999993</v>
      </c>
      <c r="P157" s="1">
        <v>67.8</v>
      </c>
      <c r="Q157" s="1">
        <v>3.5999999999999997E-2</v>
      </c>
      <c r="R157" s="1">
        <v>6.6</v>
      </c>
      <c r="S157" s="1" t="str" cm="1">
        <f t="array" ref="S157">_xlfn.IFS(R157&lt;6.5, "Short_Swing", R157&lt;=7.4, "Average_Swing", R157&gt;=7.5, "Long_Swing")</f>
        <v>Average_Swing</v>
      </c>
      <c r="T157" s="1">
        <v>35.4</v>
      </c>
      <c r="U157" s="1">
        <v>7.4</v>
      </c>
      <c r="V157" s="1" t="str" cm="1">
        <f t="array" ref="V157">_xlfn.IFS(U157&lt;6,"Flat",U157&lt;=14,"Average",U157&gt;14,"Steep")</f>
        <v>Average</v>
      </c>
      <c r="W157" s="1">
        <v>-1.8</v>
      </c>
      <c r="X157" s="1">
        <v>25.3</v>
      </c>
      <c r="Y157" s="1">
        <v>49.9</v>
      </c>
    </row>
    <row r="158" spans="1:25" x14ac:dyDescent="0.3">
      <c r="A158" t="s">
        <v>332</v>
      </c>
      <c r="B158" t="s">
        <v>333</v>
      </c>
      <c r="C158" s="1">
        <v>672761</v>
      </c>
      <c r="D158" s="1" t="s">
        <v>68</v>
      </c>
      <c r="E158" s="1" t="s">
        <v>27</v>
      </c>
      <c r="F158" s="1">
        <v>-6</v>
      </c>
      <c r="G158" s="1">
        <v>533</v>
      </c>
      <c r="H158" s="1">
        <v>34.700000000000003</v>
      </c>
      <c r="I158" s="1">
        <v>0.26400000000000001</v>
      </c>
      <c r="J158" s="1">
        <v>0.41599999999999998</v>
      </c>
      <c r="K158" s="1">
        <v>0.30599999999999999</v>
      </c>
      <c r="L158" s="1">
        <v>0.33400000000000002</v>
      </c>
      <c r="M158" s="1">
        <v>47.8</v>
      </c>
      <c r="N158" s="1">
        <v>23.3</v>
      </c>
      <c r="O158" s="1">
        <v>17.600000000000001</v>
      </c>
      <c r="P158" s="1">
        <v>70.2</v>
      </c>
      <c r="Q158" s="1">
        <v>0.06</v>
      </c>
      <c r="R158" s="1">
        <v>6.6</v>
      </c>
      <c r="S158" s="1" t="str" cm="1">
        <f t="array" ref="S158">_xlfn.IFS(R158&lt;6.5, "Short_Swing", R158&lt;=7.4, "Average_Swing", R158&gt;=7.5, "Long_Swing")</f>
        <v>Average_Swing</v>
      </c>
      <c r="T158" s="1">
        <v>29.7</v>
      </c>
      <c r="U158" s="1">
        <v>8</v>
      </c>
      <c r="V158" s="1" t="str" cm="1">
        <f t="array" ref="V158">_xlfn.IFS(U158&lt;6,"Flat",U158&lt;=14,"Average",U158&gt;14,"Steep")</f>
        <v>Average</v>
      </c>
      <c r="W158" s="1">
        <v>-4</v>
      </c>
      <c r="X158" s="1">
        <v>28.3</v>
      </c>
      <c r="Y158" s="1">
        <v>51.9</v>
      </c>
    </row>
    <row r="159" spans="1:25" x14ac:dyDescent="0.3">
      <c r="A159" t="s">
        <v>334</v>
      </c>
      <c r="B159" t="s">
        <v>335</v>
      </c>
      <c r="C159" s="1">
        <v>521692</v>
      </c>
      <c r="D159" s="1" t="s">
        <v>184</v>
      </c>
      <c r="E159" s="1" t="s">
        <v>26</v>
      </c>
      <c r="F159" s="1">
        <v>-1</v>
      </c>
      <c r="G159" s="1">
        <v>315</v>
      </c>
      <c r="H159" s="1">
        <v>13.9</v>
      </c>
      <c r="I159" s="1">
        <v>0.317</v>
      </c>
      <c r="J159" s="1">
        <v>0.60599999999999998</v>
      </c>
      <c r="K159" s="1">
        <v>0.35</v>
      </c>
      <c r="L159" s="1">
        <v>0.41199999999999998</v>
      </c>
      <c r="M159" s="1">
        <v>54.4</v>
      </c>
      <c r="N159" s="1">
        <v>11.4</v>
      </c>
      <c r="O159" s="1">
        <v>5.8</v>
      </c>
      <c r="P159" s="1">
        <v>73.5</v>
      </c>
      <c r="Q159" s="1">
        <v>0.35199999999999998</v>
      </c>
      <c r="R159" s="1">
        <v>7.4</v>
      </c>
      <c r="S159" s="1" t="str" cm="1">
        <f t="array" ref="S159">_xlfn.IFS(R159&lt;6.5, "Short_Swing", R159&lt;=7.4, "Average_Swing", R159&gt;=7.5, "Long_Swing")</f>
        <v>Average_Swing</v>
      </c>
      <c r="T159" s="1">
        <v>34.200000000000003</v>
      </c>
      <c r="U159" s="1">
        <v>12.4</v>
      </c>
      <c r="V159" s="1" t="str" cm="1">
        <f t="array" ref="V159">_xlfn.IFS(U159&lt;6,"Flat",U159&lt;=14,"Average",U159&gt;14,"Steep")</f>
        <v>Average</v>
      </c>
      <c r="W159" s="1">
        <v>-5.4</v>
      </c>
      <c r="X159" s="1">
        <v>30.4</v>
      </c>
      <c r="Y159" s="1">
        <v>56.3</v>
      </c>
    </row>
    <row r="160" spans="1:25" x14ac:dyDescent="0.3">
      <c r="A160" t="s">
        <v>171</v>
      </c>
      <c r="B160" t="s">
        <v>336</v>
      </c>
      <c r="C160" s="1">
        <v>502054</v>
      </c>
      <c r="D160" s="1" t="s">
        <v>149</v>
      </c>
      <c r="E160" s="1" t="s">
        <v>27</v>
      </c>
      <c r="F160" s="1">
        <v>4</v>
      </c>
      <c r="G160" s="1">
        <v>484</v>
      </c>
      <c r="H160" s="1">
        <v>28.4</v>
      </c>
      <c r="I160" s="1">
        <v>0.29299999999999998</v>
      </c>
      <c r="J160" s="1">
        <v>0.48499999999999999</v>
      </c>
      <c r="K160" s="1">
        <v>0.36699999999999999</v>
      </c>
      <c r="L160" s="1">
        <v>0.4</v>
      </c>
      <c r="M160" s="1">
        <v>56.8</v>
      </c>
      <c r="N160" s="1">
        <v>21.5</v>
      </c>
      <c r="O160" s="1">
        <v>20.7</v>
      </c>
      <c r="P160" s="1">
        <v>72.900000000000006</v>
      </c>
      <c r="Q160" s="1">
        <v>0.26500000000000001</v>
      </c>
      <c r="R160" s="1">
        <v>6.6</v>
      </c>
      <c r="S160" s="1" t="str" cm="1">
        <f t="array" ref="S160">_xlfn.IFS(R160&lt;6.5, "Short_Swing", R160&lt;=7.4, "Average_Swing", R160&gt;=7.5, "Long_Swing")</f>
        <v>Average_Swing</v>
      </c>
      <c r="T160" s="1">
        <v>27.4</v>
      </c>
      <c r="U160" s="1">
        <v>8.1999999999999993</v>
      </c>
      <c r="V160" s="1" t="str" cm="1">
        <f t="array" ref="V160">_xlfn.IFS(U160&lt;6,"Flat",U160&lt;=14,"Average",U160&gt;14,"Steep")</f>
        <v>Average</v>
      </c>
      <c r="W160" s="1">
        <v>-0.9</v>
      </c>
      <c r="X160" s="1">
        <v>32.700000000000003</v>
      </c>
      <c r="Y160" s="1">
        <v>51.9</v>
      </c>
    </row>
    <row r="161" spans="1:25" x14ac:dyDescent="0.3">
      <c r="A161" t="s">
        <v>337</v>
      </c>
      <c r="B161" t="s">
        <v>338</v>
      </c>
      <c r="C161" s="1">
        <v>593871</v>
      </c>
      <c r="D161" s="1" t="s">
        <v>59</v>
      </c>
      <c r="E161" s="1" t="s">
        <v>27</v>
      </c>
      <c r="F161" s="1">
        <v>3</v>
      </c>
      <c r="G161" s="1">
        <v>605</v>
      </c>
      <c r="H161" s="1">
        <v>29.9</v>
      </c>
      <c r="I161" s="1">
        <v>0.28699999999999998</v>
      </c>
      <c r="J161" s="1">
        <v>0.53300000000000003</v>
      </c>
      <c r="K161" s="1">
        <v>0.35099999999999998</v>
      </c>
      <c r="L161" s="1">
        <v>0.377</v>
      </c>
      <c r="M161" s="1">
        <v>51.3</v>
      </c>
      <c r="N161" s="1">
        <v>11.1</v>
      </c>
      <c r="O161" s="1">
        <v>8.9</v>
      </c>
      <c r="P161" s="1">
        <v>71.3</v>
      </c>
      <c r="Q161" s="1">
        <v>0.14000000000000001</v>
      </c>
      <c r="R161" s="1">
        <v>6.9</v>
      </c>
      <c r="S161" s="1" t="str" cm="1">
        <f t="array" ref="S161">_xlfn.IFS(R161&lt;6.5, "Short_Swing", R161&lt;=7.4, "Average_Swing", R161&gt;=7.5, "Long_Swing")</f>
        <v>Average_Swing</v>
      </c>
      <c r="T161" s="1">
        <v>30.5</v>
      </c>
      <c r="U161" s="1">
        <v>9.5</v>
      </c>
      <c r="V161" s="1" t="str" cm="1">
        <f t="array" ref="V161">_xlfn.IFS(U161&lt;6,"Flat",U161&lt;=14,"Average",U161&gt;14,"Steep")</f>
        <v>Average</v>
      </c>
      <c r="W161" s="1">
        <v>-10.6</v>
      </c>
      <c r="X161" s="1">
        <v>32.200000000000003</v>
      </c>
      <c r="Y161" s="1">
        <v>56.6</v>
      </c>
    </row>
    <row r="162" spans="1:25" x14ac:dyDescent="0.3">
      <c r="A162" t="s">
        <v>339</v>
      </c>
      <c r="B162" t="s">
        <v>340</v>
      </c>
      <c r="C162" s="1">
        <v>700337</v>
      </c>
      <c r="D162" s="1" t="s">
        <v>88</v>
      </c>
      <c r="E162" s="1" t="s">
        <v>27</v>
      </c>
      <c r="F162" s="1">
        <v>1</v>
      </c>
      <c r="G162" s="1">
        <v>677</v>
      </c>
      <c r="H162" s="1">
        <v>42.8</v>
      </c>
      <c r="I162" s="1">
        <v>0.23400000000000001</v>
      </c>
      <c r="J162" s="1">
        <v>0.38700000000000001</v>
      </c>
      <c r="K162" s="1">
        <v>0.34899999999999998</v>
      </c>
      <c r="L162" s="1">
        <v>0.32600000000000001</v>
      </c>
      <c r="M162" s="1">
        <v>46</v>
      </c>
      <c r="N162" s="1">
        <v>22.9</v>
      </c>
      <c r="O162" s="1">
        <v>18.8</v>
      </c>
      <c r="P162" s="1">
        <v>66.900000000000006</v>
      </c>
      <c r="Q162" s="1">
        <v>1.0999999999999999E-2</v>
      </c>
      <c r="R162" s="1">
        <v>6.5</v>
      </c>
      <c r="S162" s="1" t="str" cm="1">
        <f t="array" ref="S162">_xlfn.IFS(R162&lt;6.5, "Short_Swing", R162&lt;=7.4, "Average_Swing", R162&gt;=7.5, "Long_Swing")</f>
        <v>Average_Swing</v>
      </c>
      <c r="T162" s="1">
        <v>31.5</v>
      </c>
      <c r="U162" s="1">
        <v>6</v>
      </c>
      <c r="V162" s="1" t="str" cm="1">
        <f t="array" ref="V162">_xlfn.IFS(U162&lt;6,"Flat",U162&lt;=14,"Average",U162&gt;14,"Steep")</f>
        <v>Average</v>
      </c>
      <c r="W162" s="1">
        <v>9.5</v>
      </c>
      <c r="X162" s="1">
        <v>25.1</v>
      </c>
      <c r="Y162" s="1">
        <v>52.2</v>
      </c>
    </row>
    <row r="163" spans="1:25" x14ac:dyDescent="0.3">
      <c r="A163" t="s">
        <v>341</v>
      </c>
      <c r="B163" t="s">
        <v>342</v>
      </c>
      <c r="C163" s="1">
        <v>678882</v>
      </c>
      <c r="D163" s="1" t="s">
        <v>30</v>
      </c>
      <c r="E163" s="1" t="s">
        <v>26</v>
      </c>
      <c r="F163" s="1">
        <v>-9</v>
      </c>
      <c r="G163" s="1">
        <v>368</v>
      </c>
      <c r="H163" s="1">
        <v>17.3</v>
      </c>
      <c r="I163" s="1">
        <v>0.25800000000000001</v>
      </c>
      <c r="J163" s="1">
        <v>0.36899999999999999</v>
      </c>
      <c r="K163" s="1">
        <v>0.27100000000000002</v>
      </c>
      <c r="L163" s="1">
        <v>0.30399999999999999</v>
      </c>
      <c r="M163" s="1">
        <v>40.700000000000003</v>
      </c>
      <c r="N163" s="1">
        <v>15.2</v>
      </c>
      <c r="O163" s="1">
        <v>7.8</v>
      </c>
      <c r="P163" s="1">
        <v>70.599999999999994</v>
      </c>
      <c r="Q163" s="1">
        <v>0.112</v>
      </c>
      <c r="R163" s="1">
        <v>6.9</v>
      </c>
      <c r="S163" s="1" t="str" cm="1">
        <f t="array" ref="S163">_xlfn.IFS(R163&lt;6.5, "Short_Swing", R163&lt;=7.4, "Average_Swing", R163&gt;=7.5, "Long_Swing")</f>
        <v>Average_Swing</v>
      </c>
      <c r="T163" s="1">
        <v>32.6</v>
      </c>
      <c r="U163" s="1">
        <v>11.6</v>
      </c>
      <c r="V163" s="1" t="str" cm="1">
        <f t="array" ref="V163">_xlfn.IFS(U163&lt;6,"Flat",U163&lt;=14,"Average",U163&gt;14,"Steep")</f>
        <v>Average</v>
      </c>
      <c r="W163" s="1">
        <v>-1.5</v>
      </c>
      <c r="X163" s="1">
        <v>33.5</v>
      </c>
      <c r="Y163" s="1">
        <v>57.2</v>
      </c>
    </row>
    <row r="164" spans="1:25" x14ac:dyDescent="0.3">
      <c r="A164" t="s">
        <v>343</v>
      </c>
      <c r="B164" t="s">
        <v>344</v>
      </c>
      <c r="C164" s="1">
        <v>663728</v>
      </c>
      <c r="D164" s="1" t="s">
        <v>59</v>
      </c>
      <c r="E164" s="1" t="s">
        <v>27</v>
      </c>
      <c r="F164" s="1">
        <v>16</v>
      </c>
      <c r="G164" s="1">
        <v>969</v>
      </c>
      <c r="H164" s="1">
        <v>34.200000000000003</v>
      </c>
      <c r="I164" s="1">
        <v>0.23300000000000001</v>
      </c>
      <c r="J164" s="1">
        <v>0.59099999999999997</v>
      </c>
      <c r="K164" s="1">
        <v>0.38900000000000001</v>
      </c>
      <c r="L164" s="1">
        <v>0.38600000000000001</v>
      </c>
      <c r="M164" s="1">
        <v>52.4</v>
      </c>
      <c r="N164" s="1">
        <v>26.4</v>
      </c>
      <c r="O164" s="1">
        <v>28.4</v>
      </c>
      <c r="P164" s="1">
        <v>75.3</v>
      </c>
      <c r="Q164" s="1">
        <v>0.55900000000000005</v>
      </c>
      <c r="R164" s="1">
        <v>7.4</v>
      </c>
      <c r="S164" s="1" t="str" cm="1">
        <f t="array" ref="S164">_xlfn.IFS(R164&lt;6.5, "Short_Swing", R164&lt;=7.4, "Average_Swing", R164&gt;=7.5, "Long_Swing")</f>
        <v>Average_Swing</v>
      </c>
      <c r="T164" s="1">
        <v>34.299999999999997</v>
      </c>
      <c r="U164" s="1">
        <v>17.899999999999999</v>
      </c>
      <c r="V164" s="1" t="str" cm="1">
        <f t="array" ref="V164">_xlfn.IFS(U164&lt;6,"Flat",U164&lt;=14,"Average",U164&gt;14,"Steep")</f>
        <v>Steep</v>
      </c>
      <c r="W164" s="1">
        <v>-8.1999999999999993</v>
      </c>
      <c r="X164" s="1">
        <v>36</v>
      </c>
      <c r="Y164" s="1">
        <v>45.2</v>
      </c>
    </row>
    <row r="165" spans="1:25" x14ac:dyDescent="0.3">
      <c r="A165" t="s">
        <v>345</v>
      </c>
      <c r="B165" t="s">
        <v>346</v>
      </c>
      <c r="C165" s="1">
        <v>608070</v>
      </c>
      <c r="D165" s="1" t="s">
        <v>56</v>
      </c>
      <c r="E165" s="1" t="s">
        <v>26</v>
      </c>
      <c r="F165" s="1">
        <v>6</v>
      </c>
      <c r="G165" s="1">
        <v>281</v>
      </c>
      <c r="H165" s="1">
        <v>10.5</v>
      </c>
      <c r="I165" s="1">
        <v>0.25700000000000001</v>
      </c>
      <c r="J165" s="1">
        <v>0.48299999999999998</v>
      </c>
      <c r="K165" s="1">
        <v>0.40899999999999997</v>
      </c>
      <c r="L165" s="1">
        <v>0.35</v>
      </c>
      <c r="M165" s="1">
        <v>43.5</v>
      </c>
      <c r="N165" s="1">
        <v>7.3</v>
      </c>
      <c r="O165" s="1">
        <v>4.9000000000000004</v>
      </c>
      <c r="P165" s="1">
        <v>71.400000000000006</v>
      </c>
      <c r="Q165" s="1">
        <v>0.18099999999999999</v>
      </c>
      <c r="R165" s="1">
        <v>7</v>
      </c>
      <c r="S165" s="1" t="str" cm="1">
        <f t="array" ref="S165">_xlfn.IFS(R165&lt;6.5, "Short_Swing", R165&lt;=7.4, "Average_Swing", R165&gt;=7.5, "Long_Swing")</f>
        <v>Average_Swing</v>
      </c>
      <c r="T165" s="1">
        <v>29.8</v>
      </c>
      <c r="U165" s="1">
        <v>8.9</v>
      </c>
      <c r="V165" s="1" t="str" cm="1">
        <f t="array" ref="V165">_xlfn.IFS(U165&lt;6,"Flat",U165&lt;=14,"Average",U165&gt;14,"Steep")</f>
        <v>Average</v>
      </c>
      <c r="W165" s="1">
        <v>-9.4</v>
      </c>
      <c r="X165" s="1">
        <v>32.6</v>
      </c>
      <c r="Y165" s="1">
        <v>60.7</v>
      </c>
    </row>
    <row r="166" spans="1:25" x14ac:dyDescent="0.3">
      <c r="A166" t="s">
        <v>347</v>
      </c>
      <c r="B166" t="s">
        <v>346</v>
      </c>
      <c r="C166" s="1">
        <v>682663</v>
      </c>
      <c r="D166" s="1" t="s">
        <v>175</v>
      </c>
      <c r="E166" s="1" t="s">
        <v>26</v>
      </c>
      <c r="F166" s="1">
        <v>-6</v>
      </c>
      <c r="G166" s="1">
        <v>403</v>
      </c>
      <c r="H166" s="1">
        <v>19</v>
      </c>
      <c r="I166" s="1">
        <v>0.26700000000000002</v>
      </c>
      <c r="J166" s="1">
        <v>0.379</v>
      </c>
      <c r="K166" s="1">
        <v>0.30199999999999999</v>
      </c>
      <c r="L166" s="1">
        <v>0.316</v>
      </c>
      <c r="M166" s="1">
        <v>44.9</v>
      </c>
      <c r="N166" s="1">
        <v>10.6</v>
      </c>
      <c r="O166" s="1">
        <v>9.8000000000000007</v>
      </c>
      <c r="P166" s="1">
        <v>74.599999999999994</v>
      </c>
      <c r="Q166" s="1">
        <v>0.48299999999999998</v>
      </c>
      <c r="R166" s="1">
        <v>7</v>
      </c>
      <c r="S166" s="1" t="str" cm="1">
        <f t="array" ref="S166">_xlfn.IFS(R166&lt;6.5, "Short_Swing", R166&lt;=7.4, "Average_Swing", R166&gt;=7.5, "Long_Swing")</f>
        <v>Average_Swing</v>
      </c>
      <c r="T166" s="1">
        <v>25.2</v>
      </c>
      <c r="U166" s="1">
        <v>7.3</v>
      </c>
      <c r="V166" s="1" t="str" cm="1">
        <f t="array" ref="V166">_xlfn.IFS(U166&lt;6,"Flat",U166&lt;=14,"Average",U166&gt;14,"Steep")</f>
        <v>Average</v>
      </c>
      <c r="W166" s="1">
        <v>-2.9</v>
      </c>
      <c r="X166" s="1">
        <v>30.3</v>
      </c>
      <c r="Y166" s="1">
        <v>53.2</v>
      </c>
    </row>
    <row r="167" spans="1:25" x14ac:dyDescent="0.3">
      <c r="A167" t="s">
        <v>348</v>
      </c>
      <c r="B167" t="s">
        <v>349</v>
      </c>
      <c r="C167" s="1">
        <v>671218</v>
      </c>
      <c r="D167" s="1" t="s">
        <v>36</v>
      </c>
      <c r="E167" s="1" t="s">
        <v>27</v>
      </c>
      <c r="F167" s="1">
        <v>-4</v>
      </c>
      <c r="G167" s="1">
        <v>898</v>
      </c>
      <c r="H167" s="1">
        <v>33.799999999999997</v>
      </c>
      <c r="I167" s="1">
        <v>0.22700000000000001</v>
      </c>
      <c r="J167" s="1">
        <v>0.38200000000000001</v>
      </c>
      <c r="K167" s="1">
        <v>0.312</v>
      </c>
      <c r="L167" s="1">
        <v>0.316</v>
      </c>
      <c r="M167" s="1">
        <v>57.8</v>
      </c>
      <c r="N167" s="1">
        <v>29</v>
      </c>
      <c r="O167" s="1">
        <v>31.9</v>
      </c>
      <c r="P167" s="1">
        <v>72.7</v>
      </c>
      <c r="Q167" s="1">
        <v>0.30599999999999999</v>
      </c>
      <c r="R167" s="1">
        <v>6.4</v>
      </c>
      <c r="S167" s="1" t="str" cm="1">
        <f t="array" ref="S167">_xlfn.IFS(R167&lt;6.5, "Short_Swing", R167&lt;=7.4, "Average_Swing", R167&gt;=7.5, "Long_Swing")</f>
        <v>Short_Swing</v>
      </c>
      <c r="T167" s="1">
        <v>31.5</v>
      </c>
      <c r="U167" s="1">
        <v>6</v>
      </c>
      <c r="V167" s="1" t="str" cm="1">
        <f t="array" ref="V167">_xlfn.IFS(U167&lt;6,"Flat",U167&lt;=14,"Average",U167&gt;14,"Steep")</f>
        <v>Average</v>
      </c>
      <c r="W167" s="1">
        <v>1.5</v>
      </c>
      <c r="X167" s="1">
        <v>27.6</v>
      </c>
      <c r="Y167" s="1">
        <v>47.2</v>
      </c>
    </row>
    <row r="168" spans="1:25" x14ac:dyDescent="0.3">
      <c r="A168" t="s">
        <v>350</v>
      </c>
      <c r="B168" t="s">
        <v>351</v>
      </c>
      <c r="C168" s="1">
        <v>592663</v>
      </c>
      <c r="D168" s="1" t="s">
        <v>65</v>
      </c>
      <c r="E168" s="1" t="s">
        <v>26</v>
      </c>
      <c r="F168" s="1">
        <v>-2</v>
      </c>
      <c r="G168" s="1">
        <v>359</v>
      </c>
      <c r="H168" s="1">
        <v>16.3</v>
      </c>
      <c r="I168" s="1">
        <v>0.314</v>
      </c>
      <c r="J168" s="1">
        <v>0.53500000000000003</v>
      </c>
      <c r="K168" s="1">
        <v>0.34100000000000003</v>
      </c>
      <c r="L168" s="1">
        <v>0.38500000000000001</v>
      </c>
      <c r="M168" s="1">
        <v>50.6</v>
      </c>
      <c r="N168" s="1">
        <v>11.2</v>
      </c>
      <c r="O168" s="1">
        <v>10.5</v>
      </c>
      <c r="P168" s="1">
        <v>71.900000000000006</v>
      </c>
      <c r="Q168" s="1">
        <v>0.24399999999999999</v>
      </c>
      <c r="R168" s="1">
        <v>7</v>
      </c>
      <c r="S168" s="1" t="str" cm="1">
        <f t="array" ref="S168">_xlfn.IFS(R168&lt;6.5, "Short_Swing", R168&lt;=7.4, "Average_Swing", R168&gt;=7.5, "Long_Swing")</f>
        <v>Average_Swing</v>
      </c>
      <c r="T168" s="1">
        <v>34.200000000000003</v>
      </c>
      <c r="U168" s="1">
        <v>12.4</v>
      </c>
      <c r="V168" s="1" t="str" cm="1">
        <f t="array" ref="V168">_xlfn.IFS(U168&lt;6,"Flat",U168&lt;=14,"Average",U168&gt;14,"Steep")</f>
        <v>Average</v>
      </c>
      <c r="W168" s="1">
        <v>1</v>
      </c>
      <c r="X168" s="1">
        <v>28.6</v>
      </c>
      <c r="Y168" s="1">
        <v>52.8</v>
      </c>
    </row>
    <row r="169" spans="1:25" x14ac:dyDescent="0.3">
      <c r="A169" t="s">
        <v>60</v>
      </c>
      <c r="B169" t="s">
        <v>352</v>
      </c>
      <c r="C169" s="1">
        <v>650859</v>
      </c>
      <c r="D169" s="1" t="s">
        <v>39</v>
      </c>
      <c r="E169" s="1" t="s">
        <v>27</v>
      </c>
      <c r="F169" s="1">
        <v>-2</v>
      </c>
      <c r="G169" s="1">
        <v>657</v>
      </c>
      <c r="H169" s="1">
        <v>32.700000000000003</v>
      </c>
      <c r="I169" s="1">
        <v>0.28499999999999998</v>
      </c>
      <c r="J169" s="1">
        <v>0.43</v>
      </c>
      <c r="K169" s="1">
        <v>0.32400000000000001</v>
      </c>
      <c r="L169" s="1">
        <v>0.34399999999999997</v>
      </c>
      <c r="M169" s="1">
        <v>35.1</v>
      </c>
      <c r="N169" s="1">
        <v>17.600000000000001</v>
      </c>
      <c r="O169" s="1">
        <v>15</v>
      </c>
      <c r="P169" s="1">
        <v>68.2</v>
      </c>
      <c r="Q169" s="1">
        <v>3.5999999999999997E-2</v>
      </c>
      <c r="R169" s="1">
        <v>6.7</v>
      </c>
      <c r="S169" s="1" t="str" cm="1">
        <f t="array" ref="S169">_xlfn.IFS(R169&lt;6.5, "Short_Swing", R169&lt;=7.4, "Average_Swing", R169&gt;=7.5, "Long_Swing")</f>
        <v>Average_Swing</v>
      </c>
      <c r="T169" s="1">
        <v>33.6</v>
      </c>
      <c r="U169" s="1">
        <v>7.2</v>
      </c>
      <c r="V169" s="1" t="str" cm="1">
        <f t="array" ref="V169">_xlfn.IFS(U169&lt;6,"Flat",U169&lt;=14,"Average",U169&gt;14,"Steep")</f>
        <v>Average</v>
      </c>
      <c r="W169" s="1">
        <v>3.8</v>
      </c>
      <c r="X169" s="1">
        <v>26.5</v>
      </c>
      <c r="Y169" s="1">
        <v>48.8</v>
      </c>
    </row>
    <row r="170" spans="1:25" x14ac:dyDescent="0.3">
      <c r="A170" t="s">
        <v>353</v>
      </c>
      <c r="B170" t="s">
        <v>354</v>
      </c>
      <c r="C170" s="1">
        <v>668804</v>
      </c>
      <c r="D170" s="1" t="s">
        <v>149</v>
      </c>
      <c r="E170" s="1" t="s">
        <v>27</v>
      </c>
      <c r="F170" s="1">
        <v>-2</v>
      </c>
      <c r="G170" s="1">
        <v>769</v>
      </c>
      <c r="H170" s="1">
        <v>29.2</v>
      </c>
      <c r="I170" s="1">
        <v>0.311</v>
      </c>
      <c r="J170" s="1">
        <v>0.55600000000000005</v>
      </c>
      <c r="K170" s="1">
        <v>0.34300000000000003</v>
      </c>
      <c r="L170" s="1">
        <v>0.39700000000000002</v>
      </c>
      <c r="M170" s="1">
        <v>59.1</v>
      </c>
      <c r="N170" s="1">
        <v>18.8</v>
      </c>
      <c r="O170" s="1">
        <v>23.7</v>
      </c>
      <c r="P170" s="1">
        <v>71.5</v>
      </c>
      <c r="Q170" s="1">
        <v>0.16700000000000001</v>
      </c>
      <c r="R170" s="1">
        <v>6.4</v>
      </c>
      <c r="S170" s="1" t="str" cm="1">
        <f t="array" ref="S170">_xlfn.IFS(R170&lt;6.5, "Short_Swing", R170&lt;=7.4, "Average_Swing", R170&gt;=7.5, "Long_Swing")</f>
        <v>Short_Swing</v>
      </c>
      <c r="T170" s="1">
        <v>37.9</v>
      </c>
      <c r="U170" s="1">
        <v>13</v>
      </c>
      <c r="V170" s="1" t="str" cm="1">
        <f t="array" ref="V170">_xlfn.IFS(U170&lt;6,"Flat",U170&lt;=14,"Average",U170&gt;14,"Steep")</f>
        <v>Average</v>
      </c>
      <c r="W170" s="1">
        <v>1.1000000000000001</v>
      </c>
      <c r="X170" s="1">
        <v>28.3</v>
      </c>
      <c r="Y170" s="1">
        <v>47</v>
      </c>
    </row>
    <row r="171" spans="1:25" x14ac:dyDescent="0.3">
      <c r="A171" t="s">
        <v>355</v>
      </c>
      <c r="B171" t="s">
        <v>356</v>
      </c>
      <c r="C171" s="1">
        <v>700250</v>
      </c>
      <c r="D171" s="1" t="s">
        <v>85</v>
      </c>
      <c r="E171" s="1" t="s">
        <v>27</v>
      </c>
      <c r="F171" s="1">
        <v>1</v>
      </c>
      <c r="G171" s="1">
        <v>562</v>
      </c>
      <c r="H171" s="1">
        <v>27.5</v>
      </c>
      <c r="I171" s="1">
        <v>0.30399999999999999</v>
      </c>
      <c r="J171" s="1">
        <v>0.65700000000000003</v>
      </c>
      <c r="K171" s="1">
        <v>0.35899999999999999</v>
      </c>
      <c r="L171" s="1">
        <v>0.434</v>
      </c>
      <c r="M171" s="1">
        <v>70.099999999999994</v>
      </c>
      <c r="N171" s="1">
        <v>11.5</v>
      </c>
      <c r="O171" s="1">
        <v>16.100000000000001</v>
      </c>
      <c r="P171" s="1">
        <v>73.099999999999994</v>
      </c>
      <c r="Q171" s="1">
        <v>0.32500000000000001</v>
      </c>
      <c r="R171" s="1">
        <v>6.9</v>
      </c>
      <c r="S171" s="1" t="str" cm="1">
        <f t="array" ref="S171">_xlfn.IFS(R171&lt;6.5, "Short_Swing", R171&lt;=7.4, "Average_Swing", R171&gt;=7.5, "Long_Swing")</f>
        <v>Average_Swing</v>
      </c>
      <c r="T171" s="1">
        <v>33.200000000000003</v>
      </c>
      <c r="U171" s="1">
        <v>10.6</v>
      </c>
      <c r="V171" s="1" t="str" cm="1">
        <f t="array" ref="V171">_xlfn.IFS(U171&lt;6,"Flat",U171&lt;=14,"Average",U171&gt;14,"Steep")</f>
        <v>Average</v>
      </c>
      <c r="W171" s="1">
        <v>-6</v>
      </c>
      <c r="X171" s="1">
        <v>28.5</v>
      </c>
      <c r="Y171" s="1">
        <v>56.8</v>
      </c>
    </row>
    <row r="172" spans="1:25" x14ac:dyDescent="0.3">
      <c r="A172" t="s">
        <v>220</v>
      </c>
      <c r="B172" t="s">
        <v>357</v>
      </c>
      <c r="C172" s="1">
        <v>663586</v>
      </c>
      <c r="D172" s="1" t="s">
        <v>33</v>
      </c>
      <c r="E172" s="1" t="s">
        <v>26</v>
      </c>
      <c r="F172" s="1">
        <v>4</v>
      </c>
      <c r="G172" s="1">
        <v>285</v>
      </c>
      <c r="H172" s="1">
        <v>15.9</v>
      </c>
      <c r="I172" s="1">
        <v>0.29499999999999998</v>
      </c>
      <c r="J172" s="1">
        <v>0.56299999999999994</v>
      </c>
      <c r="K172" s="1">
        <v>0.42399999999999999</v>
      </c>
      <c r="L172" s="1">
        <v>0.39700000000000002</v>
      </c>
      <c r="M172" s="1">
        <v>52.9</v>
      </c>
      <c r="N172" s="1">
        <v>20</v>
      </c>
      <c r="O172" s="1">
        <v>16.7</v>
      </c>
      <c r="P172" s="1">
        <v>75.7</v>
      </c>
      <c r="Q172" s="1">
        <v>0.57899999999999996</v>
      </c>
      <c r="R172" s="1">
        <v>7.2</v>
      </c>
      <c r="S172" s="1" t="str" cm="1">
        <f t="array" ref="S172">_xlfn.IFS(R172&lt;6.5, "Short_Swing", R172&lt;=7.4, "Average_Swing", R172&gt;=7.5, "Long_Swing")</f>
        <v>Average_Swing</v>
      </c>
      <c r="T172" s="1">
        <v>32.200000000000003</v>
      </c>
      <c r="U172" s="1">
        <v>10.8</v>
      </c>
      <c r="V172" s="1" t="str" cm="1">
        <f t="array" ref="V172">_xlfn.IFS(U172&lt;6,"Flat",U172&lt;=14,"Average",U172&gt;14,"Steep")</f>
        <v>Average</v>
      </c>
      <c r="W172" s="1">
        <v>-4.5</v>
      </c>
      <c r="X172" s="1">
        <v>35.6</v>
      </c>
      <c r="Y172" s="1">
        <v>45.6</v>
      </c>
    </row>
    <row r="173" spans="1:25" x14ac:dyDescent="0.3">
      <c r="A173" t="s">
        <v>60</v>
      </c>
      <c r="B173" t="s">
        <v>358</v>
      </c>
      <c r="C173" s="1">
        <v>673357</v>
      </c>
      <c r="D173" s="1" t="s">
        <v>88</v>
      </c>
      <c r="E173" s="1" t="s">
        <v>26</v>
      </c>
      <c r="F173" s="1">
        <v>-4</v>
      </c>
      <c r="G173" s="1">
        <v>314</v>
      </c>
      <c r="H173" s="1">
        <v>20.6</v>
      </c>
      <c r="I173" s="1">
        <v>0.307</v>
      </c>
      <c r="J173" s="1">
        <v>0.42299999999999999</v>
      </c>
      <c r="K173" s="1">
        <v>0.32500000000000001</v>
      </c>
      <c r="L173" s="1">
        <v>0.379</v>
      </c>
      <c r="M173" s="1">
        <v>44.3</v>
      </c>
      <c r="N173" s="1">
        <v>14.6</v>
      </c>
      <c r="O173" s="1">
        <v>8.6</v>
      </c>
      <c r="P173" s="1">
        <v>75.8</v>
      </c>
      <c r="Q173" s="1">
        <v>0.60299999999999998</v>
      </c>
      <c r="R173" s="1">
        <v>7.4</v>
      </c>
      <c r="S173" s="1" t="str" cm="1">
        <f t="array" ref="S173">_xlfn.IFS(R173&lt;6.5, "Short_Swing", R173&lt;=7.4, "Average_Swing", R173&gt;=7.5, "Long_Swing")</f>
        <v>Average_Swing</v>
      </c>
      <c r="T173" s="1">
        <v>36.5</v>
      </c>
      <c r="U173" s="1">
        <v>12.2</v>
      </c>
      <c r="V173" s="1" t="str" cm="1">
        <f t="array" ref="V173">_xlfn.IFS(U173&lt;6,"Flat",U173&lt;=14,"Average",U173&gt;14,"Steep")</f>
        <v>Average</v>
      </c>
      <c r="W173" s="1">
        <v>-5.2</v>
      </c>
      <c r="X173" s="1">
        <v>30.5</v>
      </c>
      <c r="Y173" s="1">
        <v>53.9</v>
      </c>
    </row>
    <row r="174" spans="1:25" x14ac:dyDescent="0.3">
      <c r="A174" t="s">
        <v>359</v>
      </c>
      <c r="B174" t="s">
        <v>360</v>
      </c>
      <c r="C174" s="1">
        <v>677587</v>
      </c>
      <c r="D174" s="1" t="s">
        <v>56</v>
      </c>
      <c r="E174" s="1" t="s">
        <v>27</v>
      </c>
      <c r="F174" s="1">
        <v>-7</v>
      </c>
      <c r="G174" s="1">
        <v>514</v>
      </c>
      <c r="H174" s="1">
        <v>36.4</v>
      </c>
      <c r="I174" s="1">
        <v>0.25</v>
      </c>
      <c r="J174" s="1">
        <v>0.41599999999999998</v>
      </c>
      <c r="K174" s="1">
        <v>0.28599999999999998</v>
      </c>
      <c r="L174" s="1">
        <v>0.33600000000000002</v>
      </c>
      <c r="M174" s="1">
        <v>43.3</v>
      </c>
      <c r="N174" s="1">
        <v>14</v>
      </c>
      <c r="O174" s="1">
        <v>14.4</v>
      </c>
      <c r="P174" s="1">
        <v>70</v>
      </c>
      <c r="Q174" s="1">
        <v>5.8999999999999997E-2</v>
      </c>
      <c r="R174" s="1">
        <v>6.9</v>
      </c>
      <c r="S174" s="1" t="str" cm="1">
        <f t="array" ref="S174">_xlfn.IFS(R174&lt;6.5, "Short_Swing", R174&lt;=7.4, "Average_Swing", R174&gt;=7.5, "Long_Swing")</f>
        <v>Average_Swing</v>
      </c>
      <c r="T174" s="1">
        <v>29</v>
      </c>
      <c r="U174" s="1">
        <v>11</v>
      </c>
      <c r="V174" s="1" t="str" cm="1">
        <f t="array" ref="V174">_xlfn.IFS(U174&lt;6,"Flat",U174&lt;=14,"Average",U174&gt;14,"Steep")</f>
        <v>Average</v>
      </c>
      <c r="W174" s="1">
        <v>-5.9</v>
      </c>
      <c r="X174" s="1">
        <v>34.299999999999997</v>
      </c>
      <c r="Y174" s="1">
        <v>50.8</v>
      </c>
    </row>
    <row r="175" spans="1:25" x14ac:dyDescent="0.3">
      <c r="A175" t="s">
        <v>361</v>
      </c>
      <c r="B175" t="s">
        <v>362</v>
      </c>
      <c r="C175" s="1">
        <v>677594</v>
      </c>
      <c r="D175" s="1" t="s">
        <v>59</v>
      </c>
      <c r="E175" s="1" t="s">
        <v>26</v>
      </c>
      <c r="F175" s="1">
        <v>7</v>
      </c>
      <c r="G175" s="1">
        <v>443</v>
      </c>
      <c r="H175" s="1">
        <v>17.7</v>
      </c>
      <c r="I175" s="1">
        <v>0.32700000000000001</v>
      </c>
      <c r="J175" s="1">
        <v>0.45800000000000002</v>
      </c>
      <c r="K175" s="1">
        <v>0.41399999999999998</v>
      </c>
      <c r="L175" s="1">
        <v>0.36</v>
      </c>
      <c r="M175" s="1">
        <v>48.6</v>
      </c>
      <c r="N175" s="1">
        <v>10.8</v>
      </c>
      <c r="O175" s="1">
        <v>8.6999999999999993</v>
      </c>
      <c r="P175" s="1">
        <v>75.8</v>
      </c>
      <c r="Q175" s="1">
        <v>0.57499999999999996</v>
      </c>
      <c r="R175" s="1">
        <v>7.2</v>
      </c>
      <c r="S175" s="1" t="str" cm="1">
        <f t="array" ref="S175">_xlfn.IFS(R175&lt;6.5, "Short_Swing", R175&lt;=7.4, "Average_Swing", R175&gt;=7.5, "Long_Swing")</f>
        <v>Average_Swing</v>
      </c>
      <c r="T175" s="1">
        <v>31.7</v>
      </c>
      <c r="U175" s="1">
        <v>6.9</v>
      </c>
      <c r="V175" s="1" t="str" cm="1">
        <f t="array" ref="V175">_xlfn.IFS(U175&lt;6,"Flat",U175&lt;=14,"Average",U175&gt;14,"Steep")</f>
        <v>Average</v>
      </c>
      <c r="W175" s="1">
        <v>-1.4</v>
      </c>
      <c r="X175" s="1">
        <v>32.299999999999997</v>
      </c>
      <c r="Y175" s="1">
        <v>46.4</v>
      </c>
    </row>
    <row r="176" spans="1:25" x14ac:dyDescent="0.3">
      <c r="A176" t="s">
        <v>363</v>
      </c>
      <c r="B176" t="s">
        <v>364</v>
      </c>
      <c r="C176" s="1">
        <v>667670</v>
      </c>
      <c r="D176" s="1" t="s">
        <v>109</v>
      </c>
      <c r="E176" s="1" t="s">
        <v>27</v>
      </c>
      <c r="F176" s="1">
        <v>6</v>
      </c>
      <c r="G176" s="1">
        <v>697</v>
      </c>
      <c r="H176" s="1">
        <v>27.1</v>
      </c>
      <c r="I176" s="1">
        <v>0.26600000000000001</v>
      </c>
      <c r="J176" s="1">
        <v>0.54500000000000004</v>
      </c>
      <c r="K176" s="1">
        <v>0.35499999999999998</v>
      </c>
      <c r="L176" s="1">
        <v>0.377</v>
      </c>
      <c r="M176" s="1">
        <v>52.4</v>
      </c>
      <c r="N176" s="1">
        <v>20.9</v>
      </c>
      <c r="O176" s="1">
        <v>23.4</v>
      </c>
      <c r="P176" s="1">
        <v>73.3</v>
      </c>
      <c r="Q176" s="1">
        <v>0.34</v>
      </c>
      <c r="R176" s="1">
        <v>6.7</v>
      </c>
      <c r="S176" s="1" t="str" cm="1">
        <f t="array" ref="S176">_xlfn.IFS(R176&lt;6.5, "Short_Swing", R176&lt;=7.4, "Average_Swing", R176&gt;=7.5, "Long_Swing")</f>
        <v>Average_Swing</v>
      </c>
      <c r="T176" s="1">
        <v>36.299999999999997</v>
      </c>
      <c r="U176" s="1">
        <v>12.3</v>
      </c>
      <c r="V176" s="1" t="str" cm="1">
        <f t="array" ref="V176">_xlfn.IFS(U176&lt;6,"Flat",U176&lt;=14,"Average",U176&gt;14,"Steep")</f>
        <v>Average</v>
      </c>
      <c r="W176" s="1">
        <v>-6.1</v>
      </c>
      <c r="X176" s="1">
        <v>32.799999999999997</v>
      </c>
      <c r="Y176" s="1">
        <v>45.2</v>
      </c>
    </row>
    <row r="177" spans="1:25" x14ac:dyDescent="0.3">
      <c r="A177" t="s">
        <v>365</v>
      </c>
      <c r="B177" t="s">
        <v>366</v>
      </c>
      <c r="C177" s="1">
        <v>660821</v>
      </c>
      <c r="D177" s="1" t="s">
        <v>47</v>
      </c>
      <c r="E177" s="1" t="s">
        <v>27</v>
      </c>
      <c r="F177" s="1">
        <v>-5</v>
      </c>
      <c r="G177" s="1">
        <v>717</v>
      </c>
      <c r="H177" s="1">
        <v>37.1</v>
      </c>
      <c r="I177" s="1">
        <v>0.27100000000000002</v>
      </c>
      <c r="J177" s="1">
        <v>0.52300000000000002</v>
      </c>
      <c r="K177" s="1">
        <v>0.32600000000000001</v>
      </c>
      <c r="L177" s="1">
        <v>0.374</v>
      </c>
      <c r="M177" s="1">
        <v>50</v>
      </c>
      <c r="N177" s="1">
        <v>22.2</v>
      </c>
      <c r="O177" s="1">
        <v>19.899999999999999</v>
      </c>
      <c r="P177" s="1">
        <v>74.5</v>
      </c>
      <c r="Q177" s="1">
        <v>0.47799999999999998</v>
      </c>
      <c r="R177" s="1">
        <v>6.4</v>
      </c>
      <c r="S177" s="1" t="str" cm="1">
        <f t="array" ref="S177">_xlfn.IFS(R177&lt;6.5, "Short_Swing", R177&lt;=7.4, "Average_Swing", R177&gt;=7.5, "Long_Swing")</f>
        <v>Short_Swing</v>
      </c>
      <c r="T177" s="1">
        <v>27.8</v>
      </c>
      <c r="U177" s="1">
        <v>7.1</v>
      </c>
      <c r="V177" s="1" t="str" cm="1">
        <f t="array" ref="V177">_xlfn.IFS(U177&lt;6,"Flat",U177&lt;=14,"Average",U177&gt;14,"Steep")</f>
        <v>Average</v>
      </c>
      <c r="W177" s="1">
        <v>-1.8</v>
      </c>
      <c r="X177" s="1">
        <v>35</v>
      </c>
      <c r="Y177" s="1">
        <v>48.2</v>
      </c>
    </row>
    <row r="178" spans="1:25" x14ac:dyDescent="0.3">
      <c r="A178" t="s">
        <v>141</v>
      </c>
      <c r="B178" t="s">
        <v>367</v>
      </c>
      <c r="C178" s="1">
        <v>467793</v>
      </c>
      <c r="D178" s="1" t="s">
        <v>106</v>
      </c>
      <c r="E178" s="1" t="s">
        <v>26</v>
      </c>
      <c r="F178" s="1">
        <v>-2</v>
      </c>
      <c r="G178" s="1">
        <v>252</v>
      </c>
      <c r="H178" s="1">
        <v>12.7</v>
      </c>
      <c r="I178" s="1">
        <v>0.26900000000000002</v>
      </c>
      <c r="J178" s="1">
        <v>0.433</v>
      </c>
      <c r="K178" s="1">
        <v>0.32600000000000001</v>
      </c>
      <c r="L178" s="1">
        <v>0.36899999999999999</v>
      </c>
      <c r="M178" s="1">
        <v>61.9</v>
      </c>
      <c r="N178" s="1">
        <v>16.2</v>
      </c>
      <c r="O178" s="1">
        <v>11.9</v>
      </c>
      <c r="P178" s="1">
        <v>71.5</v>
      </c>
      <c r="Q178" s="1">
        <v>0.19700000000000001</v>
      </c>
      <c r="R178" s="1">
        <v>7.3</v>
      </c>
      <c r="S178" s="1" t="str" cm="1">
        <f t="array" ref="S178">_xlfn.IFS(R178&lt;6.5, "Short_Swing", R178&lt;=7.4, "Average_Swing", R178&gt;=7.5, "Long_Swing")</f>
        <v>Average_Swing</v>
      </c>
      <c r="T178" s="1">
        <v>26.7</v>
      </c>
      <c r="U178" s="1">
        <v>12.8</v>
      </c>
      <c r="V178" s="1" t="str" cm="1">
        <f t="array" ref="V178">_xlfn.IFS(U178&lt;6,"Flat",U178&lt;=14,"Average",U178&gt;14,"Steep")</f>
        <v>Average</v>
      </c>
      <c r="W178" s="1">
        <v>-5.6</v>
      </c>
      <c r="X178" s="1">
        <v>34.1</v>
      </c>
      <c r="Y178" s="1">
        <v>64.5</v>
      </c>
    </row>
    <row r="179" spans="1:25" x14ac:dyDescent="0.3">
      <c r="A179" t="s">
        <v>51</v>
      </c>
      <c r="B179" t="s">
        <v>368</v>
      </c>
      <c r="C179" s="1">
        <v>694384</v>
      </c>
      <c r="D179" s="1" t="s">
        <v>39</v>
      </c>
      <c r="E179" s="1" t="s">
        <v>26</v>
      </c>
      <c r="F179" s="1">
        <v>3</v>
      </c>
      <c r="G179" s="1">
        <v>330</v>
      </c>
      <c r="H179" s="1">
        <v>15.3</v>
      </c>
      <c r="I179" s="1">
        <v>0.27</v>
      </c>
      <c r="J179" s="1">
        <v>0.44600000000000001</v>
      </c>
      <c r="K179" s="1">
        <v>0.41599999999999998</v>
      </c>
      <c r="L179" s="1">
        <v>0.35399999999999998</v>
      </c>
      <c r="M179" s="1">
        <v>29.9</v>
      </c>
      <c r="N179" s="1">
        <v>7.1</v>
      </c>
      <c r="O179" s="1">
        <v>12.4</v>
      </c>
      <c r="P179" s="1">
        <v>67</v>
      </c>
      <c r="Q179" s="1">
        <v>5.3999999999999999E-2</v>
      </c>
      <c r="R179" s="1">
        <v>6.3</v>
      </c>
      <c r="S179" s="1" t="str" cm="1">
        <f t="array" ref="S179">_xlfn.IFS(R179&lt;6.5, "Short_Swing", R179&lt;=7.4, "Average_Swing", R179&gt;=7.5, "Long_Swing")</f>
        <v>Short_Swing</v>
      </c>
      <c r="T179" s="1">
        <v>38.5</v>
      </c>
      <c r="U179" s="1">
        <v>8.6</v>
      </c>
      <c r="V179" s="1" t="str" cm="1">
        <f t="array" ref="V179">_xlfn.IFS(U179&lt;6,"Flat",U179&lt;=14,"Average",U179&gt;14,"Steep")</f>
        <v>Average</v>
      </c>
      <c r="W179" s="1">
        <v>-1</v>
      </c>
      <c r="X179" s="1">
        <v>30.8</v>
      </c>
      <c r="Y179" s="1">
        <v>46.1</v>
      </c>
    </row>
    <row r="180" spans="1:25" x14ac:dyDescent="0.3">
      <c r="A180" t="s">
        <v>369</v>
      </c>
      <c r="B180" t="s">
        <v>370</v>
      </c>
      <c r="C180" s="1">
        <v>682177</v>
      </c>
      <c r="D180" s="1" t="s">
        <v>56</v>
      </c>
      <c r="E180" s="1" t="s">
        <v>27</v>
      </c>
      <c r="F180" s="1">
        <v>-2</v>
      </c>
      <c r="G180" s="1">
        <v>508</v>
      </c>
      <c r="H180" s="1">
        <v>30.5</v>
      </c>
      <c r="I180" s="1">
        <v>0.26100000000000001</v>
      </c>
      <c r="J180" s="1">
        <v>0.51200000000000001</v>
      </c>
      <c r="K180" s="1">
        <v>0.34399999999999997</v>
      </c>
      <c r="L180" s="1">
        <v>0.374</v>
      </c>
      <c r="M180" s="1">
        <v>64.099999999999994</v>
      </c>
      <c r="N180" s="1">
        <v>25.3</v>
      </c>
      <c r="O180" s="1">
        <v>27.5</v>
      </c>
      <c r="P180" s="1">
        <v>70.5</v>
      </c>
      <c r="Q180" s="1">
        <v>9.9000000000000005E-2</v>
      </c>
      <c r="R180" s="1">
        <v>6.6</v>
      </c>
      <c r="S180" s="1" t="str" cm="1">
        <f t="array" ref="S180">_xlfn.IFS(R180&lt;6.5, "Short_Swing", R180&lt;=7.4, "Average_Swing", R180&gt;=7.5, "Long_Swing")</f>
        <v>Average_Swing</v>
      </c>
      <c r="T180" s="1">
        <v>34.9</v>
      </c>
      <c r="U180" s="1">
        <v>14</v>
      </c>
      <c r="V180" s="1" t="str" cm="1">
        <f t="array" ref="V180">_xlfn.IFS(U180&lt;6,"Flat",U180&lt;=14,"Average",U180&gt;14,"Steep")</f>
        <v>Average</v>
      </c>
      <c r="W180" s="1">
        <v>3.1</v>
      </c>
      <c r="X180" s="1">
        <v>33.799999999999997</v>
      </c>
      <c r="Y180" s="1">
        <v>50.3</v>
      </c>
    </row>
    <row r="181" spans="1:25" x14ac:dyDescent="0.3">
      <c r="A181" t="s">
        <v>281</v>
      </c>
      <c r="B181" t="s">
        <v>371</v>
      </c>
      <c r="C181" s="1">
        <v>656941</v>
      </c>
      <c r="D181" s="1" t="s">
        <v>65</v>
      </c>
      <c r="E181" s="1" t="s">
        <v>26</v>
      </c>
      <c r="F181" s="1">
        <v>11</v>
      </c>
      <c r="G181" s="1">
        <v>462</v>
      </c>
      <c r="H181" s="1">
        <v>15.1</v>
      </c>
      <c r="I181" s="1">
        <v>0.33800000000000002</v>
      </c>
      <c r="J181" s="1">
        <v>0.70899999999999996</v>
      </c>
      <c r="K181" s="1">
        <v>0.46400000000000002</v>
      </c>
      <c r="L181" s="1">
        <v>0.49399999999999999</v>
      </c>
      <c r="M181" s="1">
        <v>66.2</v>
      </c>
      <c r="N181" s="1">
        <v>17.8</v>
      </c>
      <c r="O181" s="1">
        <v>13.2</v>
      </c>
      <c r="P181" s="1">
        <v>77.7</v>
      </c>
      <c r="Q181" s="1">
        <v>0.80800000000000005</v>
      </c>
      <c r="R181" s="1">
        <v>7.2</v>
      </c>
      <c r="S181" s="1" t="str" cm="1">
        <f t="array" ref="S181">_xlfn.IFS(R181&lt;6.5, "Short_Swing", R181&lt;=7.4, "Average_Swing", R181&gt;=7.5, "Long_Swing")</f>
        <v>Average_Swing</v>
      </c>
      <c r="T181" s="1">
        <v>30.3</v>
      </c>
      <c r="U181" s="1">
        <v>14.6</v>
      </c>
      <c r="V181" s="1" t="str" cm="1">
        <f t="array" ref="V181">_xlfn.IFS(U181&lt;6,"Flat",U181&lt;=14,"Average",U181&gt;14,"Steep")</f>
        <v>Steep</v>
      </c>
      <c r="W181" s="1">
        <v>-5.8</v>
      </c>
      <c r="X181" s="1">
        <v>33.4</v>
      </c>
      <c r="Y181" s="1">
        <v>64.3</v>
      </c>
    </row>
    <row r="182" spans="1:25" x14ac:dyDescent="0.3">
      <c r="A182" t="s">
        <v>372</v>
      </c>
      <c r="B182" t="s">
        <v>373</v>
      </c>
      <c r="C182" s="1">
        <v>687363</v>
      </c>
      <c r="D182" s="1" t="s">
        <v>53</v>
      </c>
      <c r="E182" s="1" t="s">
        <v>26</v>
      </c>
      <c r="F182" s="1">
        <v>-3</v>
      </c>
      <c r="G182" s="1">
        <v>269</v>
      </c>
      <c r="H182" s="1">
        <v>15.8</v>
      </c>
      <c r="I182" s="1">
        <v>0.26800000000000002</v>
      </c>
      <c r="J182" s="1">
        <v>0.32900000000000001</v>
      </c>
      <c r="K182" s="1">
        <v>0.30599999999999999</v>
      </c>
      <c r="L182" s="1">
        <v>0.33700000000000002</v>
      </c>
      <c r="M182" s="1">
        <v>26.4</v>
      </c>
      <c r="N182" s="1">
        <v>16.7</v>
      </c>
      <c r="O182" s="1">
        <v>16.5</v>
      </c>
      <c r="P182" s="1">
        <v>68.599999999999994</v>
      </c>
      <c r="Q182" s="1">
        <v>7.3999999999999996E-2</v>
      </c>
      <c r="R182" s="1">
        <v>6</v>
      </c>
      <c r="S182" s="1" t="str" cm="1">
        <f t="array" ref="S182">_xlfn.IFS(R182&lt;6.5, "Short_Swing", R182&lt;=7.4, "Average_Swing", R182&gt;=7.5, "Long_Swing")</f>
        <v>Short_Swing</v>
      </c>
      <c r="T182" s="1">
        <v>32.200000000000003</v>
      </c>
      <c r="U182" s="1">
        <v>9.6999999999999993</v>
      </c>
      <c r="V182" s="1" t="str" cm="1">
        <f t="array" ref="V182">_xlfn.IFS(U182&lt;6,"Flat",U182&lt;=14,"Average",U182&gt;14,"Steep")</f>
        <v>Average</v>
      </c>
      <c r="W182" s="1">
        <v>-1.8</v>
      </c>
      <c r="X182" s="1">
        <v>31.8</v>
      </c>
      <c r="Y182" s="1">
        <v>53.5</v>
      </c>
    </row>
    <row r="183" spans="1:25" x14ac:dyDescent="0.3">
      <c r="A183" t="s">
        <v>374</v>
      </c>
      <c r="B183" t="s">
        <v>375</v>
      </c>
      <c r="C183" s="1">
        <v>608369</v>
      </c>
      <c r="D183" s="1" t="s">
        <v>102</v>
      </c>
      <c r="E183" s="1" t="s">
        <v>26</v>
      </c>
      <c r="F183" s="1">
        <v>0</v>
      </c>
      <c r="G183" s="1">
        <v>246</v>
      </c>
      <c r="H183" s="1">
        <v>14.7</v>
      </c>
      <c r="I183" s="1">
        <v>0.27900000000000003</v>
      </c>
      <c r="J183" s="1">
        <v>0.41799999999999998</v>
      </c>
      <c r="K183" s="1">
        <v>0.35899999999999999</v>
      </c>
      <c r="L183" s="1">
        <v>0.36</v>
      </c>
      <c r="M183" s="1">
        <v>56.8</v>
      </c>
      <c r="N183" s="1">
        <v>14.2</v>
      </c>
      <c r="O183" s="1">
        <v>16.899999999999999</v>
      </c>
      <c r="P183" s="1">
        <v>72</v>
      </c>
      <c r="Q183" s="1">
        <v>0.16</v>
      </c>
      <c r="R183" s="1">
        <v>6.2</v>
      </c>
      <c r="S183" s="1" t="str" cm="1">
        <f t="array" ref="S183">_xlfn.IFS(R183&lt;6.5, "Short_Swing", R183&lt;=7.4, "Average_Swing", R183&gt;=7.5, "Long_Swing")</f>
        <v>Short_Swing</v>
      </c>
      <c r="T183" s="1">
        <v>34.200000000000003</v>
      </c>
      <c r="U183" s="1">
        <v>12.8</v>
      </c>
      <c r="V183" s="1" t="str" cm="1">
        <f t="array" ref="V183">_xlfn.IFS(U183&lt;6,"Flat",U183&lt;=14,"Average",U183&gt;14,"Steep")</f>
        <v>Average</v>
      </c>
      <c r="W183" s="1">
        <v>3.5</v>
      </c>
      <c r="X183" s="1">
        <v>32</v>
      </c>
      <c r="Y183" s="1">
        <v>54.7</v>
      </c>
    </row>
    <row r="184" spans="1:25" x14ac:dyDescent="0.3">
      <c r="A184" t="s">
        <v>376</v>
      </c>
      <c r="B184" t="s">
        <v>377</v>
      </c>
      <c r="C184" s="1">
        <v>543760</v>
      </c>
      <c r="D184" s="1" t="s">
        <v>102</v>
      </c>
      <c r="E184" s="1" t="s">
        <v>26</v>
      </c>
      <c r="F184" s="1">
        <v>0</v>
      </c>
      <c r="G184" s="1">
        <v>400</v>
      </c>
      <c r="H184" s="1">
        <v>19.3</v>
      </c>
      <c r="I184" s="1">
        <v>0.29799999999999999</v>
      </c>
      <c r="J184" s="1">
        <v>0.43099999999999999</v>
      </c>
      <c r="K184" s="1">
        <v>0.35499999999999998</v>
      </c>
      <c r="L184" s="1">
        <v>0.371</v>
      </c>
      <c r="M184" s="1">
        <v>44</v>
      </c>
      <c r="N184" s="1">
        <v>12</v>
      </c>
      <c r="O184" s="1">
        <v>10.8</v>
      </c>
      <c r="P184" s="1">
        <v>69.099999999999994</v>
      </c>
      <c r="Q184" s="1">
        <v>6.5000000000000002E-2</v>
      </c>
      <c r="R184" s="1">
        <v>7.5</v>
      </c>
      <c r="S184" s="1" t="str" cm="1">
        <f t="array" ref="S184">_xlfn.IFS(R184&lt;6.5, "Short_Swing", R184&lt;=7.4, "Average_Swing", R184&gt;=7.5, "Long_Swing")</f>
        <v>Long_Swing</v>
      </c>
      <c r="T184" s="1">
        <v>34.799999999999997</v>
      </c>
      <c r="U184" s="1">
        <v>15.8</v>
      </c>
      <c r="V184" s="1" t="str" cm="1">
        <f t="array" ref="V184">_xlfn.IFS(U184&lt;6,"Flat",U184&lt;=14,"Average",U184&gt;14,"Steep")</f>
        <v>Steep</v>
      </c>
      <c r="W184" s="1">
        <v>-3.9</v>
      </c>
      <c r="X184" s="1">
        <v>30.5</v>
      </c>
      <c r="Y184" s="1">
        <v>56.6</v>
      </c>
    </row>
    <row r="185" spans="1:25" x14ac:dyDescent="0.3">
      <c r="A185" t="s">
        <v>124</v>
      </c>
      <c r="B185" t="s">
        <v>378</v>
      </c>
      <c r="C185" s="1">
        <v>807713</v>
      </c>
      <c r="D185" s="1" t="s">
        <v>106</v>
      </c>
      <c r="E185" s="1" t="s">
        <v>26</v>
      </c>
      <c r="F185" s="1">
        <v>-6</v>
      </c>
      <c r="G185" s="1">
        <v>358</v>
      </c>
      <c r="H185" s="1">
        <v>20.8</v>
      </c>
      <c r="I185" s="1">
        <v>0.26800000000000002</v>
      </c>
      <c r="J185" s="1">
        <v>0.34699999999999998</v>
      </c>
      <c r="K185" s="1">
        <v>0.31</v>
      </c>
      <c r="L185" s="1">
        <v>0.32700000000000001</v>
      </c>
      <c r="M185" s="1">
        <v>26.2</v>
      </c>
      <c r="N185" s="1">
        <v>12.8</v>
      </c>
      <c r="O185" s="1">
        <v>12.4</v>
      </c>
      <c r="P185" s="1">
        <v>69.8</v>
      </c>
      <c r="Q185" s="1">
        <v>0.13100000000000001</v>
      </c>
      <c r="R185" s="1">
        <v>6.6</v>
      </c>
      <c r="S185" s="1" t="str" cm="1">
        <f t="array" ref="S185">_xlfn.IFS(R185&lt;6.5, "Short_Swing", R185&lt;=7.4, "Average_Swing", R185&gt;=7.5, "Long_Swing")</f>
        <v>Average_Swing</v>
      </c>
      <c r="T185" s="1">
        <v>26.8</v>
      </c>
      <c r="U185" s="1">
        <v>11</v>
      </c>
      <c r="V185" s="1" t="str" cm="1">
        <f t="array" ref="V185">_xlfn.IFS(U185&lt;6,"Flat",U185&lt;=14,"Average",U185&gt;14,"Steep")</f>
        <v>Average</v>
      </c>
      <c r="W185" s="1">
        <v>-1.9</v>
      </c>
      <c r="X185" s="1">
        <v>31.6</v>
      </c>
      <c r="Y185" s="1">
        <v>65.400000000000006</v>
      </c>
    </row>
    <row r="186" spans="1:25" x14ac:dyDescent="0.3">
      <c r="A186" t="s">
        <v>276</v>
      </c>
      <c r="B186" t="s">
        <v>379</v>
      </c>
      <c r="C186" s="1">
        <v>657757</v>
      </c>
      <c r="D186" s="1" t="s">
        <v>62</v>
      </c>
      <c r="E186" s="1" t="s">
        <v>26</v>
      </c>
      <c r="F186" s="1">
        <v>-1</v>
      </c>
      <c r="G186" s="1">
        <v>274</v>
      </c>
      <c r="H186" s="1">
        <v>12</v>
      </c>
      <c r="I186" s="1">
        <v>0.318</v>
      </c>
      <c r="J186" s="1">
        <v>0.49</v>
      </c>
      <c r="K186" s="1">
        <v>0.35499999999999998</v>
      </c>
      <c r="L186" s="1">
        <v>0.38600000000000001</v>
      </c>
      <c r="M186" s="1">
        <v>53.6</v>
      </c>
      <c r="N186" s="1">
        <v>10.199999999999999</v>
      </c>
      <c r="O186" s="1">
        <v>8.6999999999999993</v>
      </c>
      <c r="P186" s="1">
        <v>74.400000000000006</v>
      </c>
      <c r="Q186" s="1">
        <v>0.47599999999999998</v>
      </c>
      <c r="R186" s="1">
        <v>7.1</v>
      </c>
      <c r="S186" s="1" t="str" cm="1">
        <f t="array" ref="S186">_xlfn.IFS(R186&lt;6.5, "Short_Swing", R186&lt;=7.4, "Average_Swing", R186&gt;=7.5, "Long_Swing")</f>
        <v>Average_Swing</v>
      </c>
      <c r="T186" s="1">
        <v>27.5</v>
      </c>
      <c r="U186" s="1">
        <v>8.4</v>
      </c>
      <c r="V186" s="1" t="str" cm="1">
        <f t="array" ref="V186">_xlfn.IFS(U186&lt;6,"Flat",U186&lt;=14,"Average",U186&gt;14,"Steep")</f>
        <v>Average</v>
      </c>
      <c r="W186" s="1">
        <v>-7.5</v>
      </c>
      <c r="X186" s="1">
        <v>34.1</v>
      </c>
      <c r="Y186" s="1">
        <v>53.9</v>
      </c>
    </row>
    <row r="187" spans="1:25" x14ac:dyDescent="0.3">
      <c r="A187" t="s">
        <v>380</v>
      </c>
      <c r="B187" t="s">
        <v>381</v>
      </c>
      <c r="C187" s="1">
        <v>701358</v>
      </c>
      <c r="D187" s="1" t="s">
        <v>47</v>
      </c>
      <c r="E187" s="1" t="s">
        <v>26</v>
      </c>
      <c r="F187" s="1">
        <v>-1</v>
      </c>
      <c r="G187" s="1">
        <v>351</v>
      </c>
      <c r="H187" s="1">
        <v>17.3</v>
      </c>
      <c r="I187" s="1">
        <v>0.27300000000000002</v>
      </c>
      <c r="J187" s="1">
        <v>0.35499999999999998</v>
      </c>
      <c r="K187" s="1">
        <v>0.35899999999999999</v>
      </c>
      <c r="L187" s="1">
        <v>0.32400000000000001</v>
      </c>
      <c r="M187" s="1">
        <v>45.6</v>
      </c>
      <c r="N187" s="1">
        <v>17.5</v>
      </c>
      <c r="O187" s="1">
        <v>15.3</v>
      </c>
      <c r="P187" s="1">
        <v>74.2</v>
      </c>
      <c r="Q187" s="1">
        <v>0.44400000000000001</v>
      </c>
      <c r="R187" s="1">
        <v>6.8</v>
      </c>
      <c r="S187" s="1" t="str" cm="1">
        <f t="array" ref="S187">_xlfn.IFS(R187&lt;6.5, "Short_Swing", R187&lt;=7.4, "Average_Swing", R187&gt;=7.5, "Long_Swing")</f>
        <v>Average_Swing</v>
      </c>
      <c r="T187" s="1">
        <v>38.1</v>
      </c>
      <c r="U187" s="1">
        <v>7.5</v>
      </c>
      <c r="V187" s="1" t="str" cm="1">
        <f t="array" ref="V187">_xlfn.IFS(U187&lt;6,"Flat",U187&lt;=14,"Average",U187&gt;14,"Steep")</f>
        <v>Average</v>
      </c>
      <c r="W187" s="1">
        <v>-1.2</v>
      </c>
      <c r="X187" s="1">
        <v>29.4</v>
      </c>
      <c r="Y187" s="1">
        <v>39.299999999999997</v>
      </c>
    </row>
    <row r="188" spans="1:25" x14ac:dyDescent="0.3">
      <c r="A188" t="s">
        <v>81</v>
      </c>
      <c r="B188" t="s">
        <v>381</v>
      </c>
      <c r="C188" s="1">
        <v>669701</v>
      </c>
      <c r="D188" s="1" t="s">
        <v>102</v>
      </c>
      <c r="E188" s="1" t="s">
        <v>26</v>
      </c>
      <c r="F188" s="1">
        <v>3</v>
      </c>
      <c r="G188" s="1">
        <v>305</v>
      </c>
      <c r="H188" s="1">
        <v>13.3</v>
      </c>
      <c r="I188" s="1">
        <v>0.30099999999999999</v>
      </c>
      <c r="J188" s="1">
        <v>0.40400000000000003</v>
      </c>
      <c r="K188" s="1">
        <v>0.38500000000000001</v>
      </c>
      <c r="L188" s="1">
        <v>0.36799999999999999</v>
      </c>
      <c r="M188" s="1">
        <v>35.700000000000003</v>
      </c>
      <c r="N188" s="1">
        <v>14.2</v>
      </c>
      <c r="O188" s="1">
        <v>12.8</v>
      </c>
      <c r="P188" s="1">
        <v>68.5</v>
      </c>
      <c r="Q188" s="1">
        <v>2.1999999999999999E-2</v>
      </c>
      <c r="R188" s="1">
        <v>6.3</v>
      </c>
      <c r="S188" s="1" t="str" cm="1">
        <f t="array" ref="S188">_xlfn.IFS(R188&lt;6.5, "Short_Swing", R188&lt;=7.4, "Average_Swing", R188&gt;=7.5, "Long_Swing")</f>
        <v>Short_Swing</v>
      </c>
      <c r="T188" s="1">
        <v>36.5</v>
      </c>
      <c r="U188" s="1">
        <v>8.6</v>
      </c>
      <c r="V188" s="1" t="str" cm="1">
        <f t="array" ref="V188">_xlfn.IFS(U188&lt;6,"Flat",U188&lt;=14,"Average",U188&gt;14,"Steep")</f>
        <v>Average</v>
      </c>
      <c r="W188" s="1">
        <v>-1.9</v>
      </c>
      <c r="X188" s="1">
        <v>30.8</v>
      </c>
      <c r="Y188" s="1">
        <v>43.1</v>
      </c>
    </row>
    <row r="189" spans="1:25" x14ac:dyDescent="0.3">
      <c r="A189" t="s">
        <v>382</v>
      </c>
      <c r="B189" t="s">
        <v>381</v>
      </c>
      <c r="C189" s="1">
        <v>669257</v>
      </c>
      <c r="D189" s="1" t="s">
        <v>91</v>
      </c>
      <c r="E189" s="1" t="s">
        <v>26</v>
      </c>
      <c r="F189" s="1">
        <v>-3</v>
      </c>
      <c r="G189" s="1">
        <v>284</v>
      </c>
      <c r="H189" s="1">
        <v>14.7</v>
      </c>
      <c r="I189" s="1">
        <v>0.316</v>
      </c>
      <c r="J189" s="1">
        <v>0.48399999999999999</v>
      </c>
      <c r="K189" s="1">
        <v>0.32500000000000001</v>
      </c>
      <c r="L189" s="1">
        <v>0.36299999999999999</v>
      </c>
      <c r="M189" s="1">
        <v>53.3</v>
      </c>
      <c r="N189" s="1">
        <v>10.4</v>
      </c>
      <c r="O189" s="1">
        <v>12</v>
      </c>
      <c r="P189" s="1">
        <v>70</v>
      </c>
      <c r="Q189" s="1">
        <v>7.0000000000000007E-2</v>
      </c>
      <c r="R189" s="1">
        <v>6.9</v>
      </c>
      <c r="S189" s="1" t="str" cm="1">
        <f t="array" ref="S189">_xlfn.IFS(R189&lt;6.5, "Short_Swing", R189&lt;=7.4, "Average_Swing", R189&gt;=7.5, "Long_Swing")</f>
        <v>Average_Swing</v>
      </c>
      <c r="T189" s="1">
        <v>34</v>
      </c>
      <c r="U189" s="1">
        <v>11.8</v>
      </c>
      <c r="V189" s="1" t="str" cm="1">
        <f t="array" ref="V189">_xlfn.IFS(U189&lt;6,"Flat",U189&lt;=14,"Average",U189&gt;14,"Steep")</f>
        <v>Average</v>
      </c>
      <c r="W189" s="1">
        <v>0.8</v>
      </c>
      <c r="X189" s="1">
        <v>31.3</v>
      </c>
      <c r="Y189" s="1">
        <v>62.5</v>
      </c>
    </row>
    <row r="190" spans="1:25" x14ac:dyDescent="0.3">
      <c r="A190" t="s">
        <v>185</v>
      </c>
      <c r="B190" t="s">
        <v>383</v>
      </c>
      <c r="C190" s="1">
        <v>691016</v>
      </c>
      <c r="D190" s="1" t="s">
        <v>109</v>
      </c>
      <c r="E190" s="1" t="s">
        <v>27</v>
      </c>
      <c r="F190" s="1">
        <v>1</v>
      </c>
      <c r="G190" s="1">
        <v>527</v>
      </c>
      <c r="H190" s="1">
        <v>23.7</v>
      </c>
      <c r="I190" s="1">
        <v>0.25900000000000001</v>
      </c>
      <c r="J190" s="1">
        <v>0.47599999999999998</v>
      </c>
      <c r="K190" s="1">
        <v>0.371</v>
      </c>
      <c r="L190" s="1">
        <v>0.35</v>
      </c>
      <c r="M190" s="1">
        <v>61.5</v>
      </c>
      <c r="N190" s="1">
        <v>18.100000000000001</v>
      </c>
      <c r="O190" s="1">
        <v>24.5</v>
      </c>
      <c r="P190" s="1">
        <v>73.2</v>
      </c>
      <c r="Q190" s="1">
        <v>0.29799999999999999</v>
      </c>
      <c r="R190" s="1">
        <v>6.9</v>
      </c>
      <c r="S190" s="1" t="str" cm="1">
        <f t="array" ref="S190">_xlfn.IFS(R190&lt;6.5, "Short_Swing", R190&lt;=7.4, "Average_Swing", R190&gt;=7.5, "Long_Swing")</f>
        <v>Average_Swing</v>
      </c>
      <c r="T190" s="1">
        <v>30.6</v>
      </c>
      <c r="U190" s="1">
        <v>9.6</v>
      </c>
      <c r="V190" s="1" t="str" cm="1">
        <f t="array" ref="V190">_xlfn.IFS(U190&lt;6,"Flat",U190&lt;=14,"Average",U190&gt;14,"Steep")</f>
        <v>Average</v>
      </c>
      <c r="W190" s="1">
        <v>1.2</v>
      </c>
      <c r="X190" s="1">
        <v>28</v>
      </c>
      <c r="Y190" s="1">
        <v>50.2</v>
      </c>
    </row>
    <row r="191" spans="1:25" x14ac:dyDescent="0.3">
      <c r="A191" t="s">
        <v>384</v>
      </c>
      <c r="B191" t="s">
        <v>385</v>
      </c>
      <c r="C191" s="1">
        <v>672820</v>
      </c>
      <c r="D191" s="1" t="s">
        <v>88</v>
      </c>
      <c r="E191" s="1" t="s">
        <v>26</v>
      </c>
      <c r="F191" s="1">
        <v>0</v>
      </c>
      <c r="G191" s="1">
        <v>342</v>
      </c>
      <c r="H191" s="1">
        <v>16.600000000000001</v>
      </c>
      <c r="I191" s="1">
        <v>0.307</v>
      </c>
      <c r="J191" s="1">
        <v>0.50700000000000001</v>
      </c>
      <c r="K191" s="1">
        <v>0.371</v>
      </c>
      <c r="L191" s="1">
        <v>0.36499999999999999</v>
      </c>
      <c r="M191" s="1">
        <v>50.6</v>
      </c>
      <c r="N191" s="1">
        <v>13.4</v>
      </c>
      <c r="O191" s="1">
        <v>9.3000000000000007</v>
      </c>
      <c r="P191" s="1">
        <v>72.099999999999994</v>
      </c>
      <c r="Q191" s="1">
        <v>0.22500000000000001</v>
      </c>
      <c r="R191" s="1">
        <v>7</v>
      </c>
      <c r="S191" s="1" t="str" cm="1">
        <f t="array" ref="S191">_xlfn.IFS(R191&lt;6.5, "Short_Swing", R191&lt;=7.4, "Average_Swing", R191&gt;=7.5, "Long_Swing")</f>
        <v>Average_Swing</v>
      </c>
      <c r="T191" s="1">
        <v>32.6</v>
      </c>
      <c r="U191" s="1">
        <v>10.5</v>
      </c>
      <c r="V191" s="1" t="str" cm="1">
        <f t="array" ref="V191">_xlfn.IFS(U191&lt;6,"Flat",U191&lt;=14,"Average",U191&gt;14,"Steep")</f>
        <v>Average</v>
      </c>
      <c r="W191" s="1">
        <v>0.5</v>
      </c>
      <c r="X191" s="1">
        <v>32.700000000000003</v>
      </c>
      <c r="Y191" s="1">
        <v>55.4</v>
      </c>
    </row>
    <row r="192" spans="1:25" x14ac:dyDescent="0.3">
      <c r="A192" t="s">
        <v>386</v>
      </c>
      <c r="B192" t="s">
        <v>387</v>
      </c>
      <c r="C192" s="1">
        <v>665742</v>
      </c>
      <c r="D192" s="1" t="s">
        <v>44</v>
      </c>
      <c r="E192" s="1" t="s">
        <v>26</v>
      </c>
      <c r="F192" s="1">
        <v>4</v>
      </c>
      <c r="G192" s="1">
        <v>599</v>
      </c>
      <c r="H192" s="1">
        <v>20.2</v>
      </c>
      <c r="I192" s="1">
        <v>0.25800000000000001</v>
      </c>
      <c r="J192" s="1">
        <v>0.49299999999999999</v>
      </c>
      <c r="K192" s="1">
        <v>0.38100000000000001</v>
      </c>
      <c r="L192" s="1">
        <v>0.38300000000000001</v>
      </c>
      <c r="M192" s="1">
        <v>43.3</v>
      </c>
      <c r="N192" s="1">
        <v>15.4</v>
      </c>
      <c r="O192" s="1">
        <v>15.6</v>
      </c>
      <c r="P192" s="1">
        <v>74.099999999999994</v>
      </c>
      <c r="Q192" s="1">
        <v>0.45400000000000001</v>
      </c>
      <c r="R192" s="1">
        <v>6.9</v>
      </c>
      <c r="S192" s="1" t="str" cm="1">
        <f t="array" ref="S192">_xlfn.IFS(R192&lt;6.5, "Short_Swing", R192&lt;=7.4, "Average_Swing", R192&gt;=7.5, "Long_Swing")</f>
        <v>Average_Swing</v>
      </c>
      <c r="T192" s="1">
        <v>28.1</v>
      </c>
      <c r="U192" s="1">
        <v>10.9</v>
      </c>
      <c r="V192" s="1" t="str" cm="1">
        <f t="array" ref="V192">_xlfn.IFS(U192&lt;6,"Flat",U192&lt;=14,"Average",U192&gt;14,"Steep")</f>
        <v>Average</v>
      </c>
      <c r="W192" s="1">
        <v>3.8</v>
      </c>
      <c r="X192" s="1">
        <v>23.2</v>
      </c>
      <c r="Y192" s="1">
        <v>65.900000000000006</v>
      </c>
    </row>
    <row r="193" spans="1:25" x14ac:dyDescent="0.3">
      <c r="A193" t="s">
        <v>388</v>
      </c>
      <c r="B193" t="s">
        <v>389</v>
      </c>
      <c r="C193" s="1">
        <v>543807</v>
      </c>
      <c r="D193" s="1" t="s">
        <v>75</v>
      </c>
      <c r="E193" s="1" t="s">
        <v>26</v>
      </c>
      <c r="F193" s="1">
        <v>12</v>
      </c>
      <c r="G193" s="1">
        <v>408</v>
      </c>
      <c r="H193" s="1">
        <v>17.7</v>
      </c>
      <c r="I193" s="1">
        <v>0.374</v>
      </c>
      <c r="J193" s="1">
        <v>0.66100000000000003</v>
      </c>
      <c r="K193" s="1">
        <v>0.45500000000000002</v>
      </c>
      <c r="L193" s="1">
        <v>0.48099999999999998</v>
      </c>
      <c r="M193" s="1">
        <v>52.8</v>
      </c>
      <c r="N193" s="1">
        <v>14.4</v>
      </c>
      <c r="O193" s="1">
        <v>6.9</v>
      </c>
      <c r="P193" s="1">
        <v>74.3</v>
      </c>
      <c r="Q193" s="1">
        <v>0.44800000000000001</v>
      </c>
      <c r="R193" s="1">
        <v>7.2</v>
      </c>
      <c r="S193" s="1" t="str" cm="1">
        <f t="array" ref="S193">_xlfn.IFS(R193&lt;6.5, "Short_Swing", R193&lt;=7.4, "Average_Swing", R193&gt;=7.5, "Long_Swing")</f>
        <v>Average_Swing</v>
      </c>
      <c r="T193" s="1">
        <v>35.200000000000003</v>
      </c>
      <c r="U193" s="1">
        <v>13.2</v>
      </c>
      <c r="V193" s="1" t="str" cm="1">
        <f t="array" ref="V193">_xlfn.IFS(U193&lt;6,"Flat",U193&lt;=14,"Average",U193&gt;14,"Steep")</f>
        <v>Average</v>
      </c>
      <c r="W193" s="1">
        <v>-0.4</v>
      </c>
      <c r="X193" s="1">
        <v>22.3</v>
      </c>
      <c r="Y193" s="1">
        <v>58</v>
      </c>
    </row>
    <row r="194" spans="1:25" x14ac:dyDescent="0.3">
      <c r="A194" t="s">
        <v>234</v>
      </c>
      <c r="B194" t="s">
        <v>390</v>
      </c>
      <c r="C194" s="1">
        <v>668715</v>
      </c>
      <c r="D194" s="1" t="s">
        <v>154</v>
      </c>
      <c r="E194" s="1" t="s">
        <v>26</v>
      </c>
      <c r="F194" s="1">
        <v>-6</v>
      </c>
      <c r="G194" s="1">
        <v>448</v>
      </c>
      <c r="H194" s="1">
        <v>19.399999999999999</v>
      </c>
      <c r="I194" s="1">
        <v>0.253</v>
      </c>
      <c r="J194" s="1">
        <v>0.376</v>
      </c>
      <c r="K194" s="1">
        <v>0.29599999999999999</v>
      </c>
      <c r="L194" s="1">
        <v>0.32100000000000001</v>
      </c>
      <c r="M194" s="1">
        <v>31.5</v>
      </c>
      <c r="N194" s="1">
        <v>16.8</v>
      </c>
      <c r="O194" s="1">
        <v>11.2</v>
      </c>
      <c r="P194" s="1">
        <v>70.7</v>
      </c>
      <c r="Q194" s="1">
        <v>6.8000000000000005E-2</v>
      </c>
      <c r="R194" s="1">
        <v>7</v>
      </c>
      <c r="S194" s="1" t="str" cm="1">
        <f t="array" ref="S194">_xlfn.IFS(R194&lt;6.5, "Short_Swing", R194&lt;=7.4, "Average_Swing", R194&gt;=7.5, "Long_Swing")</f>
        <v>Average_Swing</v>
      </c>
      <c r="T194" s="1">
        <v>28.3</v>
      </c>
      <c r="U194" s="1">
        <v>12.4</v>
      </c>
      <c r="V194" s="1" t="str" cm="1">
        <f t="array" ref="V194">_xlfn.IFS(U194&lt;6,"Flat",U194&lt;=14,"Average",U194&gt;14,"Steep")</f>
        <v>Average</v>
      </c>
      <c r="W194" s="1">
        <v>-4.0999999999999996</v>
      </c>
      <c r="X194" s="1">
        <v>32.700000000000003</v>
      </c>
      <c r="Y194" s="1">
        <v>58</v>
      </c>
    </row>
    <row r="195" spans="1:25" x14ac:dyDescent="0.3">
      <c r="A195" t="s">
        <v>258</v>
      </c>
      <c r="B195" t="s">
        <v>391</v>
      </c>
      <c r="C195" s="1">
        <v>596115</v>
      </c>
      <c r="D195" s="1" t="s">
        <v>30</v>
      </c>
      <c r="E195" s="1" t="s">
        <v>26</v>
      </c>
      <c r="F195" s="1">
        <v>2</v>
      </c>
      <c r="G195" s="1">
        <v>345</v>
      </c>
      <c r="H195" s="1">
        <v>14</v>
      </c>
      <c r="I195" s="1">
        <v>0.32700000000000001</v>
      </c>
      <c r="J195" s="1">
        <v>0.501</v>
      </c>
      <c r="K195" s="1">
        <v>0.38900000000000001</v>
      </c>
      <c r="L195" s="1">
        <v>0.38100000000000001</v>
      </c>
      <c r="M195" s="1">
        <v>60</v>
      </c>
      <c r="N195" s="1">
        <v>14.6</v>
      </c>
      <c r="O195" s="1">
        <v>10.3</v>
      </c>
      <c r="P195" s="1">
        <v>70.3</v>
      </c>
      <c r="Q195" s="1">
        <v>8.4000000000000005E-2</v>
      </c>
      <c r="R195" s="1">
        <v>6.7</v>
      </c>
      <c r="S195" s="1" t="str" cm="1">
        <f t="array" ref="S195">_xlfn.IFS(R195&lt;6.5, "Short_Swing", R195&lt;=7.4, "Average_Swing", R195&gt;=7.5, "Long_Swing")</f>
        <v>Average_Swing</v>
      </c>
      <c r="T195" s="1">
        <v>29.4</v>
      </c>
      <c r="U195" s="1">
        <v>10.5</v>
      </c>
      <c r="V195" s="1" t="str" cm="1">
        <f t="array" ref="V195">_xlfn.IFS(U195&lt;6,"Flat",U195&lt;=14,"Average",U195&gt;14,"Steep")</f>
        <v>Average</v>
      </c>
      <c r="W195" s="1">
        <v>-4.5</v>
      </c>
      <c r="X195" s="1">
        <v>35.4</v>
      </c>
      <c r="Y195" s="1">
        <v>46.2</v>
      </c>
    </row>
    <row r="196" spans="1:25" x14ac:dyDescent="0.3">
      <c r="A196" t="s">
        <v>392</v>
      </c>
      <c r="B196" t="s">
        <v>393</v>
      </c>
      <c r="C196" s="1">
        <v>681082</v>
      </c>
      <c r="D196" s="1" t="s">
        <v>65</v>
      </c>
      <c r="E196" s="1" t="s">
        <v>27</v>
      </c>
      <c r="F196" s="1">
        <v>6</v>
      </c>
      <c r="G196" s="1">
        <v>1018</v>
      </c>
      <c r="H196" s="1">
        <v>41.3</v>
      </c>
      <c r="I196" s="1">
        <v>0.249</v>
      </c>
      <c r="J196" s="1">
        <v>0.433</v>
      </c>
      <c r="K196" s="1">
        <v>0.38200000000000001</v>
      </c>
      <c r="L196" s="1">
        <v>0.34</v>
      </c>
      <c r="M196" s="1">
        <v>37</v>
      </c>
      <c r="N196" s="1">
        <v>16.7</v>
      </c>
      <c r="O196" s="1">
        <v>20.399999999999999</v>
      </c>
      <c r="P196" s="1">
        <v>69.400000000000006</v>
      </c>
      <c r="Q196" s="1">
        <v>5.8000000000000003E-2</v>
      </c>
      <c r="R196" s="1">
        <v>7</v>
      </c>
      <c r="S196" s="1" t="str" cm="1">
        <f t="array" ref="S196">_xlfn.IFS(R196&lt;6.5, "Short_Swing", R196&lt;=7.4, "Average_Swing", R196&gt;=7.5, "Long_Swing")</f>
        <v>Average_Swing</v>
      </c>
      <c r="T196" s="1">
        <v>32.799999999999997</v>
      </c>
      <c r="U196" s="1">
        <v>7.5</v>
      </c>
      <c r="V196" s="1" t="str" cm="1">
        <f t="array" ref="V196">_xlfn.IFS(U196&lt;6,"Flat",U196&lt;=14,"Average",U196&gt;14,"Steep")</f>
        <v>Average</v>
      </c>
      <c r="W196" s="1">
        <v>2.1</v>
      </c>
      <c r="X196" s="1">
        <v>28.2</v>
      </c>
      <c r="Y196" s="1">
        <v>51.4</v>
      </c>
    </row>
    <row r="197" spans="1:25" x14ac:dyDescent="0.3">
      <c r="A197" t="s">
        <v>281</v>
      </c>
      <c r="B197" t="s">
        <v>394</v>
      </c>
      <c r="C197" s="1">
        <v>669065</v>
      </c>
      <c r="D197" s="1" t="s">
        <v>175</v>
      </c>
      <c r="E197" s="1" t="s">
        <v>27</v>
      </c>
      <c r="F197" s="1">
        <v>7</v>
      </c>
      <c r="G197" s="1">
        <v>640</v>
      </c>
      <c r="H197" s="1">
        <v>37.4</v>
      </c>
      <c r="I197" s="1">
        <v>0.26600000000000001</v>
      </c>
      <c r="J197" s="1">
        <v>0.55700000000000005</v>
      </c>
      <c r="K197" s="1">
        <v>0.38100000000000001</v>
      </c>
      <c r="L197" s="1">
        <v>0.38800000000000001</v>
      </c>
      <c r="M197" s="1">
        <v>51</v>
      </c>
      <c r="N197" s="1">
        <v>32.9</v>
      </c>
      <c r="O197" s="1">
        <v>30.1</v>
      </c>
      <c r="P197" s="1">
        <v>74.5</v>
      </c>
      <c r="Q197" s="1">
        <v>0.42499999999999999</v>
      </c>
      <c r="R197" s="1">
        <v>6.3</v>
      </c>
      <c r="S197" s="1" t="str" cm="1">
        <f t="array" ref="S197">_xlfn.IFS(R197&lt;6.5, "Short_Swing", R197&lt;=7.4, "Average_Swing", R197&gt;=7.5, "Long_Swing")</f>
        <v>Short_Swing</v>
      </c>
      <c r="T197" s="1">
        <v>33.9</v>
      </c>
      <c r="U197" s="1">
        <v>11.6</v>
      </c>
      <c r="V197" s="1" t="str" cm="1">
        <f t="array" ref="V197">_xlfn.IFS(U197&lt;6,"Flat",U197&lt;=14,"Average",U197&gt;14,"Steep")</f>
        <v>Average</v>
      </c>
      <c r="W197" s="1">
        <v>0.3</v>
      </c>
      <c r="X197" s="1">
        <v>31.5</v>
      </c>
      <c r="Y197" s="1">
        <v>52.3</v>
      </c>
    </row>
    <row r="198" spans="1:25" x14ac:dyDescent="0.3">
      <c r="A198" t="s">
        <v>395</v>
      </c>
      <c r="B198" t="s">
        <v>396</v>
      </c>
      <c r="C198" s="1">
        <v>553993</v>
      </c>
      <c r="D198" s="1" t="s">
        <v>59</v>
      </c>
      <c r="E198" s="1" t="s">
        <v>26</v>
      </c>
      <c r="F198" s="1">
        <v>4</v>
      </c>
      <c r="G198" s="1">
        <v>432</v>
      </c>
      <c r="H198" s="1">
        <v>16.600000000000001</v>
      </c>
      <c r="I198" s="1">
        <v>0.25700000000000001</v>
      </c>
      <c r="J198" s="1">
        <v>0.44800000000000001</v>
      </c>
      <c r="K198" s="1">
        <v>0.377</v>
      </c>
      <c r="L198" s="1">
        <v>0.35599999999999998</v>
      </c>
      <c r="M198" s="1">
        <v>44.4</v>
      </c>
      <c r="N198" s="1">
        <v>20.9</v>
      </c>
      <c r="O198" s="1">
        <v>19</v>
      </c>
      <c r="P198" s="1">
        <v>72.2</v>
      </c>
      <c r="Q198" s="1">
        <v>0.254</v>
      </c>
      <c r="R198" s="1">
        <v>7.4</v>
      </c>
      <c r="S198" s="1" t="str" cm="1">
        <f t="array" ref="S198">_xlfn.IFS(R198&lt;6.5, "Short_Swing", R198&lt;=7.4, "Average_Swing", R198&gt;=7.5, "Long_Swing")</f>
        <v>Average_Swing</v>
      </c>
      <c r="T198" s="1">
        <v>38.700000000000003</v>
      </c>
      <c r="U198" s="1">
        <v>18.5</v>
      </c>
      <c r="V198" s="1" t="str" cm="1">
        <f t="array" ref="V198">_xlfn.IFS(U198&lt;6,"Flat",U198&lt;=14,"Average",U198&gt;14,"Steep")</f>
        <v>Steep</v>
      </c>
      <c r="W198" s="1">
        <v>-5.5</v>
      </c>
      <c r="X198" s="1">
        <v>35.700000000000003</v>
      </c>
      <c r="Y198" s="1">
        <v>44.4</v>
      </c>
    </row>
    <row r="199" spans="1:25" x14ac:dyDescent="0.3">
      <c r="A199" t="s">
        <v>397</v>
      </c>
      <c r="B199" t="s">
        <v>398</v>
      </c>
      <c r="C199" s="1">
        <v>673548</v>
      </c>
      <c r="D199" s="1" t="s">
        <v>106</v>
      </c>
      <c r="E199" s="1" t="s">
        <v>27</v>
      </c>
      <c r="F199" s="1">
        <v>4</v>
      </c>
      <c r="G199" s="1">
        <v>758</v>
      </c>
      <c r="H199" s="1">
        <v>27.8</v>
      </c>
      <c r="I199" s="1">
        <v>0.28100000000000003</v>
      </c>
      <c r="J199" s="1">
        <v>0.57999999999999996</v>
      </c>
      <c r="K199" s="1">
        <v>0.34799999999999998</v>
      </c>
      <c r="L199" s="1">
        <v>0.40500000000000003</v>
      </c>
      <c r="M199" s="1">
        <v>57.7</v>
      </c>
      <c r="N199" s="1">
        <v>21.6</v>
      </c>
      <c r="O199" s="1">
        <v>25.1</v>
      </c>
      <c r="P199" s="1">
        <v>73.900000000000006</v>
      </c>
      <c r="Q199" s="1">
        <v>0.42099999999999999</v>
      </c>
      <c r="R199" s="1">
        <v>6.8</v>
      </c>
      <c r="S199" s="1" t="str" cm="1">
        <f t="array" ref="S199">_xlfn.IFS(R199&lt;6.5, "Short_Swing", R199&lt;=7.4, "Average_Swing", R199&gt;=7.5, "Long_Swing")</f>
        <v>Average_Swing</v>
      </c>
      <c r="T199" s="1">
        <v>31.1</v>
      </c>
      <c r="U199" s="1">
        <v>8.1</v>
      </c>
      <c r="V199" s="1" t="str" cm="1">
        <f t="array" ref="V199">_xlfn.IFS(U199&lt;6,"Flat",U199&lt;=14,"Average",U199&gt;14,"Steep")</f>
        <v>Average</v>
      </c>
      <c r="W199" s="1">
        <v>-3.1</v>
      </c>
      <c r="X199" s="1">
        <v>34.5</v>
      </c>
      <c r="Y199" s="1">
        <v>50.5</v>
      </c>
    </row>
    <row r="200" spans="1:25" x14ac:dyDescent="0.3">
      <c r="A200" t="s">
        <v>399</v>
      </c>
      <c r="B200" t="s">
        <v>400</v>
      </c>
      <c r="C200" s="1">
        <v>621020</v>
      </c>
      <c r="D200" s="1" t="s">
        <v>106</v>
      </c>
      <c r="E200" s="1" t="s">
        <v>26</v>
      </c>
      <c r="F200" s="1">
        <v>4</v>
      </c>
      <c r="G200" s="1">
        <v>422</v>
      </c>
      <c r="H200" s="1">
        <v>16.8</v>
      </c>
      <c r="I200" s="1">
        <v>0.32400000000000001</v>
      </c>
      <c r="J200" s="1">
        <v>0.59699999999999998</v>
      </c>
      <c r="K200" s="1">
        <v>0.40100000000000002</v>
      </c>
      <c r="L200" s="1">
        <v>0.42099999999999999</v>
      </c>
      <c r="M200" s="1">
        <v>51.1</v>
      </c>
      <c r="N200" s="1">
        <v>19.8</v>
      </c>
      <c r="O200" s="1">
        <v>14.3</v>
      </c>
      <c r="P200" s="1">
        <v>70.900000000000006</v>
      </c>
      <c r="Q200" s="1">
        <v>6.2E-2</v>
      </c>
      <c r="R200" s="1">
        <v>7</v>
      </c>
      <c r="S200" s="1" t="str" cm="1">
        <f t="array" ref="S200">_xlfn.IFS(R200&lt;6.5, "Short_Swing", R200&lt;=7.4, "Average_Swing", R200&gt;=7.5, "Long_Swing")</f>
        <v>Average_Swing</v>
      </c>
      <c r="T200" s="1">
        <v>34.6</v>
      </c>
      <c r="U200" s="1">
        <v>15.6</v>
      </c>
      <c r="V200" s="1" t="str" cm="1">
        <f t="array" ref="V200">_xlfn.IFS(U200&lt;6,"Flat",U200&lt;=14,"Average",U200&gt;14,"Steep")</f>
        <v>Steep</v>
      </c>
      <c r="W200" s="1">
        <v>-1.5</v>
      </c>
      <c r="X200" s="1">
        <v>32.4</v>
      </c>
      <c r="Y200" s="1">
        <v>59.4</v>
      </c>
    </row>
    <row r="201" spans="1:25" x14ac:dyDescent="0.3">
      <c r="A201" t="s">
        <v>401</v>
      </c>
      <c r="B201" t="s">
        <v>402</v>
      </c>
      <c r="C201" s="1">
        <v>665487</v>
      </c>
      <c r="D201" s="1" t="s">
        <v>62</v>
      </c>
      <c r="E201" s="1" t="s">
        <v>27</v>
      </c>
      <c r="F201" s="1">
        <v>8</v>
      </c>
      <c r="G201" s="1">
        <v>743</v>
      </c>
      <c r="H201" s="1">
        <v>28.2</v>
      </c>
      <c r="I201" s="1">
        <v>0.28699999999999998</v>
      </c>
      <c r="J201" s="1">
        <v>0.56799999999999995</v>
      </c>
      <c r="K201" s="1">
        <v>0.41499999999999998</v>
      </c>
      <c r="L201" s="1">
        <v>0.40500000000000003</v>
      </c>
      <c r="M201" s="1">
        <v>62</v>
      </c>
      <c r="N201" s="1">
        <v>20.7</v>
      </c>
      <c r="O201" s="1">
        <v>15.7</v>
      </c>
      <c r="P201" s="1">
        <v>73.599999999999994</v>
      </c>
      <c r="Q201" s="1">
        <v>0.378</v>
      </c>
      <c r="R201" s="1">
        <v>7</v>
      </c>
      <c r="S201" s="1" t="str" cm="1">
        <f t="array" ref="S201">_xlfn.IFS(R201&lt;6.5, "Short_Swing", R201&lt;=7.4, "Average_Swing", R201&gt;=7.5, "Long_Swing")</f>
        <v>Average_Swing</v>
      </c>
      <c r="T201" s="1">
        <v>29.8</v>
      </c>
      <c r="U201" s="1">
        <v>8.3000000000000007</v>
      </c>
      <c r="V201" s="1" t="str" cm="1">
        <f t="array" ref="V201">_xlfn.IFS(U201&lt;6,"Flat",U201&lt;=14,"Average",U201&gt;14,"Steep")</f>
        <v>Average</v>
      </c>
      <c r="W201" s="1">
        <v>0.8</v>
      </c>
      <c r="X201" s="1">
        <v>29.9</v>
      </c>
      <c r="Y201" s="1">
        <v>56.4</v>
      </c>
    </row>
    <row r="202" spans="1:25" x14ac:dyDescent="0.3">
      <c r="A202" t="s">
        <v>403</v>
      </c>
      <c r="B202" t="s">
        <v>404</v>
      </c>
      <c r="C202" s="1">
        <v>643565</v>
      </c>
      <c r="D202" s="1" t="s">
        <v>88</v>
      </c>
      <c r="E202" s="1" t="s">
        <v>27</v>
      </c>
      <c r="F202" s="1">
        <v>1</v>
      </c>
      <c r="G202" s="1">
        <v>620</v>
      </c>
      <c r="H202" s="1">
        <v>38.9</v>
      </c>
      <c r="I202" s="1">
        <v>0.255</v>
      </c>
      <c r="J202" s="1">
        <v>0.38500000000000001</v>
      </c>
      <c r="K202" s="1">
        <v>0.34699999999999998</v>
      </c>
      <c r="L202" s="1">
        <v>0.33900000000000002</v>
      </c>
      <c r="M202" s="1">
        <v>50</v>
      </c>
      <c r="N202" s="1">
        <v>24.8</v>
      </c>
      <c r="O202" s="1">
        <v>24.6</v>
      </c>
      <c r="P202" s="1">
        <v>69</v>
      </c>
      <c r="Q202" s="1">
        <v>5.6000000000000001E-2</v>
      </c>
      <c r="R202" s="1">
        <v>6.9</v>
      </c>
      <c r="S202" s="1" t="str" cm="1">
        <f t="array" ref="S202">_xlfn.IFS(R202&lt;6.5, "Short_Swing", R202&lt;=7.4, "Average_Swing", R202&gt;=7.5, "Long_Swing")</f>
        <v>Average_Swing</v>
      </c>
      <c r="T202" s="1">
        <v>34.200000000000003</v>
      </c>
      <c r="U202" s="1">
        <v>8.5</v>
      </c>
      <c r="V202" s="1" t="str" cm="1">
        <f t="array" ref="V202">_xlfn.IFS(U202&lt;6,"Flat",U202&lt;=14,"Average",U202&gt;14,"Steep")</f>
        <v>Average</v>
      </c>
      <c r="W202" s="1">
        <v>1.1000000000000001</v>
      </c>
      <c r="X202" s="1">
        <v>30.4</v>
      </c>
      <c r="Y202" s="1">
        <v>48.1</v>
      </c>
    </row>
    <row r="203" spans="1:25" x14ac:dyDescent="0.3">
      <c r="A203" t="s">
        <v>405</v>
      </c>
      <c r="B203" t="s">
        <v>406</v>
      </c>
      <c r="C203" s="1">
        <v>677950</v>
      </c>
      <c r="D203" s="1" t="s">
        <v>119</v>
      </c>
      <c r="E203" s="1" t="s">
        <v>27</v>
      </c>
      <c r="F203" s="1">
        <v>-1</v>
      </c>
      <c r="G203" s="1">
        <v>418</v>
      </c>
      <c r="H203" s="1">
        <v>24.9</v>
      </c>
      <c r="I203" s="1">
        <v>0.253</v>
      </c>
      <c r="J203" s="1">
        <v>0.48</v>
      </c>
      <c r="K203" s="1">
        <v>0.32400000000000001</v>
      </c>
      <c r="L203" s="1">
        <v>0.34</v>
      </c>
      <c r="M203" s="1">
        <v>57.3</v>
      </c>
      <c r="N203" s="1">
        <v>23.4</v>
      </c>
      <c r="O203" s="1">
        <v>29.1</v>
      </c>
      <c r="P203" s="1">
        <v>70.599999999999994</v>
      </c>
      <c r="Q203" s="1">
        <v>0.104</v>
      </c>
      <c r="R203" s="1">
        <v>6.4</v>
      </c>
      <c r="S203" s="1" t="str" cm="1">
        <f t="array" ref="S203">_xlfn.IFS(R203&lt;6.5, "Short_Swing", R203&lt;=7.4, "Average_Swing", R203&gt;=7.5, "Long_Swing")</f>
        <v>Short_Swing</v>
      </c>
      <c r="T203" s="1">
        <v>27.6</v>
      </c>
      <c r="U203" s="1">
        <v>10</v>
      </c>
      <c r="V203" s="1" t="str" cm="1">
        <f t="array" ref="V203">_xlfn.IFS(U203&lt;6,"Flat",U203&lt;=14,"Average",U203&gt;14,"Steep")</f>
        <v>Average</v>
      </c>
      <c r="W203" s="1">
        <v>0.2</v>
      </c>
      <c r="X203" s="1">
        <v>33.5</v>
      </c>
      <c r="Y203" s="1">
        <v>60.2</v>
      </c>
    </row>
    <row r="204" spans="1:25" x14ac:dyDescent="0.3">
      <c r="A204" t="s">
        <v>104</v>
      </c>
      <c r="B204" t="s">
        <v>407</v>
      </c>
      <c r="C204" s="1">
        <v>669911</v>
      </c>
      <c r="D204" s="1" t="s">
        <v>80</v>
      </c>
      <c r="E204" s="1" t="s">
        <v>27</v>
      </c>
      <c r="F204" s="1">
        <v>-11</v>
      </c>
      <c r="G204" s="1">
        <v>501</v>
      </c>
      <c r="H204" s="1">
        <v>37</v>
      </c>
      <c r="I204" s="1">
        <v>0.22600000000000001</v>
      </c>
      <c r="J204" s="1">
        <v>0.36399999999999999</v>
      </c>
      <c r="K204" s="1">
        <v>0.215</v>
      </c>
      <c r="L204" s="1">
        <v>0.28100000000000003</v>
      </c>
      <c r="M204" s="1">
        <v>37.299999999999997</v>
      </c>
      <c r="N204" s="1">
        <v>27.1</v>
      </c>
      <c r="O204" s="1">
        <v>34.1</v>
      </c>
      <c r="P204" s="1">
        <v>72.8</v>
      </c>
      <c r="Q204" s="1">
        <v>0.23100000000000001</v>
      </c>
      <c r="R204" s="1">
        <v>6.9</v>
      </c>
      <c r="S204" s="1" t="str" cm="1">
        <f t="array" ref="S204">_xlfn.IFS(R204&lt;6.5, "Short_Swing", R204&lt;=7.4, "Average_Swing", R204&gt;=7.5, "Long_Swing")</f>
        <v>Average_Swing</v>
      </c>
      <c r="T204" s="1">
        <v>35.799999999999997</v>
      </c>
      <c r="U204" s="1">
        <v>14.8</v>
      </c>
      <c r="V204" s="1" t="str" cm="1">
        <f t="array" ref="V204">_xlfn.IFS(U204&lt;6,"Flat",U204&lt;=14,"Average",U204&gt;14,"Steep")</f>
        <v>Steep</v>
      </c>
      <c r="W204" s="1">
        <v>-2.5</v>
      </c>
      <c r="X204" s="1">
        <v>28.3</v>
      </c>
      <c r="Y204" s="1">
        <v>44.3</v>
      </c>
    </row>
    <row r="205" spans="1:25" x14ac:dyDescent="0.3">
      <c r="A205" t="s">
        <v>234</v>
      </c>
      <c r="B205" t="s">
        <v>408</v>
      </c>
      <c r="C205" s="1">
        <v>679529</v>
      </c>
      <c r="D205" s="1" t="s">
        <v>68</v>
      </c>
      <c r="E205" s="1" t="s">
        <v>27</v>
      </c>
      <c r="F205" s="1">
        <v>10</v>
      </c>
      <c r="G205" s="1">
        <v>639</v>
      </c>
      <c r="H205" s="1">
        <v>24.3</v>
      </c>
      <c r="I205" s="1">
        <v>0.27600000000000002</v>
      </c>
      <c r="J205" s="1">
        <v>0.62</v>
      </c>
      <c r="K205" s="1">
        <v>0.40300000000000002</v>
      </c>
      <c r="L205" s="1">
        <v>0.42</v>
      </c>
      <c r="M205" s="1">
        <v>59.5</v>
      </c>
      <c r="N205" s="1">
        <v>18.3</v>
      </c>
      <c r="O205" s="1">
        <v>18.899999999999999</v>
      </c>
      <c r="P205" s="1">
        <v>73.3</v>
      </c>
      <c r="Q205" s="1">
        <v>0.29699999999999999</v>
      </c>
      <c r="R205" s="1">
        <v>7.4</v>
      </c>
      <c r="S205" s="1" t="str" cm="1">
        <f t="array" ref="S205">_xlfn.IFS(R205&lt;6.5, "Short_Swing", R205&lt;=7.4, "Average_Swing", R205&gt;=7.5, "Long_Swing")</f>
        <v>Average_Swing</v>
      </c>
      <c r="T205" s="1">
        <v>38</v>
      </c>
      <c r="U205" s="1">
        <v>13.5</v>
      </c>
      <c r="V205" s="1" t="str" cm="1">
        <f t="array" ref="V205">_xlfn.IFS(U205&lt;6,"Flat",U205&lt;=14,"Average",U205&gt;14,"Steep")</f>
        <v>Average</v>
      </c>
      <c r="W205" s="1">
        <v>-8</v>
      </c>
      <c r="X205" s="1">
        <v>30.7</v>
      </c>
      <c r="Y205" s="1">
        <v>50</v>
      </c>
    </row>
    <row r="206" spans="1:25" x14ac:dyDescent="0.3">
      <c r="A206" t="s">
        <v>409</v>
      </c>
      <c r="B206" t="s">
        <v>410</v>
      </c>
      <c r="C206" s="1">
        <v>650402</v>
      </c>
      <c r="D206" s="1" t="s">
        <v>68</v>
      </c>
      <c r="E206" s="1" t="s">
        <v>27</v>
      </c>
      <c r="F206" s="1">
        <v>7</v>
      </c>
      <c r="G206" s="1">
        <v>823</v>
      </c>
      <c r="H206" s="1">
        <v>31</v>
      </c>
      <c r="I206" s="1">
        <v>0.30399999999999999</v>
      </c>
      <c r="J206" s="1">
        <v>0.56200000000000006</v>
      </c>
      <c r="K206" s="1">
        <v>0.39100000000000001</v>
      </c>
      <c r="L206" s="1">
        <v>0.43099999999999999</v>
      </c>
      <c r="M206" s="1">
        <v>50.8</v>
      </c>
      <c r="N206" s="1">
        <v>21.2</v>
      </c>
      <c r="O206" s="1">
        <v>16.8</v>
      </c>
      <c r="P206" s="1">
        <v>70.599999999999994</v>
      </c>
      <c r="Q206" s="1">
        <v>0.125</v>
      </c>
      <c r="R206" s="1">
        <v>6.9</v>
      </c>
      <c r="S206" s="1" t="str" cm="1">
        <f t="array" ref="S206">_xlfn.IFS(R206&lt;6.5, "Short_Swing", R206&lt;=7.4, "Average_Swing", R206&gt;=7.5, "Long_Swing")</f>
        <v>Average_Swing</v>
      </c>
      <c r="T206" s="1">
        <v>34.1</v>
      </c>
      <c r="U206" s="1">
        <v>9.3000000000000007</v>
      </c>
      <c r="V206" s="1" t="str" cm="1">
        <f t="array" ref="V206">_xlfn.IFS(U206&lt;6,"Flat",U206&lt;=14,"Average",U206&gt;14,"Steep")</f>
        <v>Average</v>
      </c>
      <c r="W206" s="1">
        <v>4.2</v>
      </c>
      <c r="X206" s="1">
        <v>30.3</v>
      </c>
      <c r="Y206" s="1">
        <v>56.4</v>
      </c>
    </row>
    <row r="207" spans="1:25" x14ac:dyDescent="0.3">
      <c r="A207" t="s">
        <v>411</v>
      </c>
      <c r="B207" t="s">
        <v>412</v>
      </c>
      <c r="C207" s="1">
        <v>678662</v>
      </c>
      <c r="D207" s="1" t="s">
        <v>80</v>
      </c>
      <c r="E207" s="1" t="s">
        <v>27</v>
      </c>
      <c r="F207" s="1">
        <v>-6</v>
      </c>
      <c r="G207" s="1">
        <v>510</v>
      </c>
      <c r="H207" s="1">
        <v>34.700000000000003</v>
      </c>
      <c r="I207" s="1">
        <v>0.23699999999999999</v>
      </c>
      <c r="J207" s="1">
        <v>0.41699999999999998</v>
      </c>
      <c r="K207" s="1">
        <v>0.249</v>
      </c>
      <c r="L207" s="1">
        <v>0.316</v>
      </c>
      <c r="M207" s="1">
        <v>43.1</v>
      </c>
      <c r="N207" s="1">
        <v>30.2</v>
      </c>
      <c r="O207" s="1">
        <v>30.6</v>
      </c>
      <c r="P207" s="1">
        <v>71.400000000000006</v>
      </c>
      <c r="Q207" s="1">
        <v>0.17599999999999999</v>
      </c>
      <c r="R207" s="1">
        <v>7.1</v>
      </c>
      <c r="S207" s="1" t="str" cm="1">
        <f t="array" ref="S207">_xlfn.IFS(R207&lt;6.5, "Short_Swing", R207&lt;=7.4, "Average_Swing", R207&gt;=7.5, "Long_Swing")</f>
        <v>Average_Swing</v>
      </c>
      <c r="T207" s="1">
        <v>36.1</v>
      </c>
      <c r="U207" s="1">
        <v>10.9</v>
      </c>
      <c r="V207" s="1" t="str" cm="1">
        <f t="array" ref="V207">_xlfn.IFS(U207&lt;6,"Flat",U207&lt;=14,"Average",U207&gt;14,"Steep")</f>
        <v>Average</v>
      </c>
      <c r="W207" s="1">
        <v>0.6</v>
      </c>
      <c r="X207" s="1">
        <v>29.1</v>
      </c>
      <c r="Y207" s="1">
        <v>52.2</v>
      </c>
    </row>
    <row r="208" spans="1:25" x14ac:dyDescent="0.3">
      <c r="A208" t="s">
        <v>403</v>
      </c>
      <c r="B208" t="s">
        <v>413</v>
      </c>
      <c r="C208" s="1">
        <v>545361</v>
      </c>
      <c r="D208" s="1" t="s">
        <v>39</v>
      </c>
      <c r="E208" s="1" t="s">
        <v>27</v>
      </c>
      <c r="F208" s="1">
        <v>15</v>
      </c>
      <c r="G208" s="1">
        <v>1127</v>
      </c>
      <c r="H208" s="1">
        <v>45.4</v>
      </c>
      <c r="I208" s="1">
        <v>0.19800000000000001</v>
      </c>
      <c r="J208" s="1">
        <v>0.46</v>
      </c>
      <c r="K208" s="1">
        <v>0.378</v>
      </c>
      <c r="L208" s="1">
        <v>0.35699999999999998</v>
      </c>
      <c r="M208" s="1">
        <v>51.4</v>
      </c>
      <c r="N208" s="1">
        <v>29.1</v>
      </c>
      <c r="O208" s="1">
        <v>34.6</v>
      </c>
      <c r="P208" s="1">
        <v>74.099999999999994</v>
      </c>
      <c r="Q208" s="1">
        <v>0.41199999999999998</v>
      </c>
      <c r="R208" s="1">
        <v>7.1</v>
      </c>
      <c r="S208" s="1" t="str" cm="1">
        <f t="array" ref="S208">_xlfn.IFS(R208&lt;6.5, "Short_Swing", R208&lt;=7.4, "Average_Swing", R208&gt;=7.5, "Long_Swing")</f>
        <v>Average_Swing</v>
      </c>
      <c r="T208" s="1">
        <v>36.4</v>
      </c>
      <c r="U208" s="1">
        <v>7.6</v>
      </c>
      <c r="V208" s="1" t="str" cm="1">
        <f t="array" ref="V208">_xlfn.IFS(U208&lt;6,"Flat",U208&lt;=14,"Average",U208&gt;14,"Steep")</f>
        <v>Average</v>
      </c>
      <c r="W208" s="1">
        <v>0.2</v>
      </c>
      <c r="X208" s="1">
        <v>24.3</v>
      </c>
      <c r="Y208" s="1">
        <v>44.8</v>
      </c>
    </row>
    <row r="209" spans="1:25" x14ac:dyDescent="0.3">
      <c r="A209" t="s">
        <v>281</v>
      </c>
      <c r="B209" t="s">
        <v>414</v>
      </c>
      <c r="C209" s="1">
        <v>663656</v>
      </c>
      <c r="D209" s="1" t="s">
        <v>106</v>
      </c>
      <c r="E209" s="1" t="s">
        <v>27</v>
      </c>
      <c r="F209" s="1">
        <v>10</v>
      </c>
      <c r="G209" s="1">
        <v>704</v>
      </c>
      <c r="H209" s="1">
        <v>30.5</v>
      </c>
      <c r="I209" s="1">
        <v>0.28299999999999997</v>
      </c>
      <c r="J209" s="1">
        <v>0.6</v>
      </c>
      <c r="K209" s="1">
        <v>0.4</v>
      </c>
      <c r="L209" s="1">
        <v>0.43</v>
      </c>
      <c r="M209" s="1">
        <v>49.3</v>
      </c>
      <c r="N209" s="1">
        <v>12.4</v>
      </c>
      <c r="O209" s="1">
        <v>10.9</v>
      </c>
      <c r="P209" s="1">
        <v>72.099999999999994</v>
      </c>
      <c r="Q209" s="1">
        <v>0.21199999999999999</v>
      </c>
      <c r="R209" s="1">
        <v>7.2</v>
      </c>
      <c r="S209" s="1" t="str" cm="1">
        <f t="array" ref="S209">_xlfn.IFS(R209&lt;6.5, "Short_Swing", R209&lt;=7.4, "Average_Swing", R209&gt;=7.5, "Long_Swing")</f>
        <v>Average_Swing</v>
      </c>
      <c r="T209" s="1">
        <v>33.9</v>
      </c>
      <c r="U209" s="1">
        <v>11.7</v>
      </c>
      <c r="V209" s="1" t="str" cm="1">
        <f t="array" ref="V209">_xlfn.IFS(U209&lt;6,"Flat",U209&lt;=14,"Average",U209&gt;14,"Steep")</f>
        <v>Average</v>
      </c>
      <c r="W209" s="1">
        <v>-8.1</v>
      </c>
      <c r="X209" s="1">
        <v>28.4</v>
      </c>
      <c r="Y209" s="1">
        <v>49.5</v>
      </c>
    </row>
    <row r="210" spans="1:25" x14ac:dyDescent="0.3">
      <c r="A210" t="s">
        <v>415</v>
      </c>
      <c r="B210" t="s">
        <v>416</v>
      </c>
      <c r="C210" s="1">
        <v>668930</v>
      </c>
      <c r="D210" s="1" t="s">
        <v>130</v>
      </c>
      <c r="E210" s="1" t="s">
        <v>27</v>
      </c>
      <c r="F210" s="1">
        <v>4</v>
      </c>
      <c r="G210" s="1">
        <v>1020</v>
      </c>
      <c r="H210" s="1">
        <v>36.799999999999997</v>
      </c>
      <c r="I210" s="1">
        <v>0.26900000000000002</v>
      </c>
      <c r="J210" s="1">
        <v>0.45600000000000002</v>
      </c>
      <c r="K210" s="1">
        <v>0.4</v>
      </c>
      <c r="L210" s="1">
        <v>0.37</v>
      </c>
      <c r="M210" s="1">
        <v>59</v>
      </c>
      <c r="N210" s="1">
        <v>20.6</v>
      </c>
      <c r="O210" s="1">
        <v>25.1</v>
      </c>
      <c r="P210" s="1">
        <v>69.900000000000006</v>
      </c>
      <c r="Q210" s="1">
        <v>0.123</v>
      </c>
      <c r="R210" s="1">
        <v>6.5</v>
      </c>
      <c r="S210" s="1" t="str" cm="1">
        <f t="array" ref="S210">_xlfn.IFS(R210&lt;6.5, "Short_Swing", R210&lt;=7.4, "Average_Swing", R210&gt;=7.5, "Long_Swing")</f>
        <v>Average_Swing</v>
      </c>
      <c r="T210" s="1">
        <v>31.2</v>
      </c>
      <c r="U210" s="1">
        <v>6.9</v>
      </c>
      <c r="V210" s="1" t="str" cm="1">
        <f t="array" ref="V210">_xlfn.IFS(U210&lt;6,"Flat",U210&lt;=14,"Average",U210&gt;14,"Steep")</f>
        <v>Average</v>
      </c>
      <c r="W210" s="1">
        <v>8.1999999999999993</v>
      </c>
      <c r="X210" s="1">
        <v>31.8</v>
      </c>
      <c r="Y210" s="1">
        <v>45.1</v>
      </c>
    </row>
    <row r="211" spans="1:25" x14ac:dyDescent="0.3">
      <c r="A211" t="s">
        <v>417</v>
      </c>
      <c r="B211" t="s">
        <v>418</v>
      </c>
      <c r="C211" s="1">
        <v>607208</v>
      </c>
      <c r="D211" s="1" t="s">
        <v>65</v>
      </c>
      <c r="E211" s="1" t="s">
        <v>26</v>
      </c>
      <c r="F211" s="1">
        <v>5</v>
      </c>
      <c r="G211" s="1">
        <v>423</v>
      </c>
      <c r="H211" s="1">
        <v>17.600000000000001</v>
      </c>
      <c r="I211" s="1">
        <v>0.28599999999999998</v>
      </c>
      <c r="J211" s="1">
        <v>0.41699999999999998</v>
      </c>
      <c r="K211" s="1">
        <v>0.41799999999999998</v>
      </c>
      <c r="L211" s="1">
        <v>0.34399999999999997</v>
      </c>
      <c r="M211" s="1">
        <v>52.4</v>
      </c>
      <c r="N211" s="1">
        <v>14.4</v>
      </c>
      <c r="O211" s="1">
        <v>10</v>
      </c>
      <c r="P211" s="1">
        <v>71.2</v>
      </c>
      <c r="Q211" s="1">
        <v>0.185</v>
      </c>
      <c r="R211" s="1">
        <v>7.1</v>
      </c>
      <c r="S211" s="1" t="str" cm="1">
        <f t="array" ref="S211">_xlfn.IFS(R211&lt;6.5, "Short_Swing", R211&lt;=7.4, "Average_Swing", R211&gt;=7.5, "Long_Swing")</f>
        <v>Average_Swing</v>
      </c>
      <c r="T211" s="1">
        <v>27.9</v>
      </c>
      <c r="U211" s="1">
        <v>8.1</v>
      </c>
      <c r="V211" s="1" t="str" cm="1">
        <f t="array" ref="V211">_xlfn.IFS(U211&lt;6,"Flat",U211&lt;=14,"Average",U211&gt;14,"Steep")</f>
        <v>Average</v>
      </c>
      <c r="W211" s="1">
        <v>-2.9</v>
      </c>
      <c r="X211" s="1">
        <v>29.3</v>
      </c>
      <c r="Y211" s="1">
        <v>60</v>
      </c>
    </row>
    <row r="212" spans="1:25" x14ac:dyDescent="0.3">
      <c r="A212" t="s">
        <v>419</v>
      </c>
      <c r="B212" t="s">
        <v>420</v>
      </c>
      <c r="C212" s="1">
        <v>678246</v>
      </c>
      <c r="D212" s="1" t="s">
        <v>88</v>
      </c>
      <c r="E212" s="1" t="s">
        <v>26</v>
      </c>
      <c r="F212" s="1">
        <v>1</v>
      </c>
      <c r="G212" s="1">
        <v>375</v>
      </c>
      <c r="H212" s="1">
        <v>16.100000000000001</v>
      </c>
      <c r="I212" s="1">
        <v>0.32700000000000001</v>
      </c>
      <c r="J212" s="1">
        <v>0.625</v>
      </c>
      <c r="K212" s="1">
        <v>0.35799999999999998</v>
      </c>
      <c r="L212" s="1">
        <v>0.438</v>
      </c>
      <c r="M212" s="1">
        <v>63.1</v>
      </c>
      <c r="N212" s="1">
        <v>11.5</v>
      </c>
      <c r="O212" s="1">
        <v>12.5</v>
      </c>
      <c r="P212" s="1">
        <v>71.5</v>
      </c>
      <c r="Q212" s="1">
        <v>0.14000000000000001</v>
      </c>
      <c r="R212" s="1">
        <v>7.5</v>
      </c>
      <c r="S212" s="1" t="str" cm="1">
        <f t="array" ref="S212">_xlfn.IFS(R212&lt;6.5, "Short_Swing", R212&lt;=7.4, "Average_Swing", R212&gt;=7.5, "Long_Swing")</f>
        <v>Long_Swing</v>
      </c>
      <c r="T212" s="1">
        <v>35.4</v>
      </c>
      <c r="U212" s="1">
        <v>11.9</v>
      </c>
      <c r="V212" s="1" t="str" cm="1">
        <f t="array" ref="V212">_xlfn.IFS(U212&lt;6,"Flat",U212&lt;=14,"Average",U212&gt;14,"Steep")</f>
        <v>Average</v>
      </c>
      <c r="W212" s="1">
        <v>-3</v>
      </c>
      <c r="X212" s="1">
        <v>35.299999999999997</v>
      </c>
      <c r="Y212" s="1">
        <v>64.599999999999994</v>
      </c>
    </row>
    <row r="213" spans="1:25" x14ac:dyDescent="0.3">
      <c r="A213" t="s">
        <v>86</v>
      </c>
      <c r="B213" t="s">
        <v>421</v>
      </c>
      <c r="C213" s="1">
        <v>683734</v>
      </c>
      <c r="D213" s="1" t="s">
        <v>130</v>
      </c>
      <c r="E213" s="1" t="s">
        <v>26</v>
      </c>
      <c r="F213" s="1">
        <v>-6</v>
      </c>
      <c r="G213" s="1">
        <v>289</v>
      </c>
      <c r="H213" s="1">
        <v>16.8</v>
      </c>
      <c r="I213" s="1">
        <v>0.25600000000000001</v>
      </c>
      <c r="J213" s="1">
        <v>0.41799999999999998</v>
      </c>
      <c r="K213" s="1">
        <v>0.251</v>
      </c>
      <c r="L213" s="1">
        <v>0.32</v>
      </c>
      <c r="M213" s="1">
        <v>45.6</v>
      </c>
      <c r="N213" s="1">
        <v>21.2</v>
      </c>
      <c r="O213" s="1">
        <v>12</v>
      </c>
      <c r="P213" s="1">
        <v>70.400000000000006</v>
      </c>
      <c r="Q213" s="1">
        <v>0.109</v>
      </c>
      <c r="R213" s="1">
        <v>6.9</v>
      </c>
      <c r="S213" s="1" t="str" cm="1">
        <f t="array" ref="S213">_xlfn.IFS(R213&lt;6.5, "Short_Swing", R213&lt;=7.4, "Average_Swing", R213&gt;=7.5, "Long_Swing")</f>
        <v>Average_Swing</v>
      </c>
      <c r="T213" s="1">
        <v>29.4</v>
      </c>
      <c r="U213" s="1">
        <v>7.8</v>
      </c>
      <c r="V213" s="1" t="str" cm="1">
        <f t="array" ref="V213">_xlfn.IFS(U213&lt;6,"Flat",U213&lt;=14,"Average",U213&gt;14,"Steep")</f>
        <v>Average</v>
      </c>
      <c r="W213" s="1">
        <v>-1.8</v>
      </c>
      <c r="X213" s="1">
        <v>29.5</v>
      </c>
      <c r="Y213" s="1">
        <v>48.3</v>
      </c>
    </row>
    <row r="214" spans="1:25" x14ac:dyDescent="0.3">
      <c r="A214" t="s">
        <v>422</v>
      </c>
      <c r="B214" t="s">
        <v>423</v>
      </c>
      <c r="C214" s="1">
        <v>668901</v>
      </c>
      <c r="D214" s="1" t="s">
        <v>44</v>
      </c>
      <c r="E214" s="1" t="s">
        <v>27</v>
      </c>
      <c r="F214" s="1">
        <v>1</v>
      </c>
      <c r="G214" s="1">
        <v>421</v>
      </c>
      <c r="H214" s="1">
        <v>23.9</v>
      </c>
      <c r="I214" s="1">
        <v>0.23400000000000001</v>
      </c>
      <c r="J214" s="1">
        <v>0.48199999999999998</v>
      </c>
      <c r="K214" s="1">
        <v>0.33100000000000002</v>
      </c>
      <c r="L214" s="1">
        <v>0.315</v>
      </c>
      <c r="M214" s="1">
        <v>53.6</v>
      </c>
      <c r="N214" s="1">
        <v>24.2</v>
      </c>
      <c r="O214" s="1">
        <v>25.2</v>
      </c>
      <c r="P214" s="1">
        <v>71.099999999999994</v>
      </c>
      <c r="Q214" s="1">
        <v>0.13200000000000001</v>
      </c>
      <c r="R214" s="1">
        <v>7.2</v>
      </c>
      <c r="S214" s="1" t="str" cm="1">
        <f t="array" ref="S214">_xlfn.IFS(R214&lt;6.5, "Short_Swing", R214&lt;=7.4, "Average_Swing", R214&gt;=7.5, "Long_Swing")</f>
        <v>Average_Swing</v>
      </c>
      <c r="T214" s="1">
        <v>31.9</v>
      </c>
      <c r="U214" s="1">
        <v>14.6</v>
      </c>
      <c r="V214" s="1" t="str" cm="1">
        <f t="array" ref="V214">_xlfn.IFS(U214&lt;6,"Flat",U214&lt;=14,"Average",U214&gt;14,"Steep")</f>
        <v>Steep</v>
      </c>
      <c r="W214" s="1">
        <v>1.2</v>
      </c>
      <c r="X214" s="1">
        <v>28.1</v>
      </c>
      <c r="Y214" s="1">
        <v>62</v>
      </c>
    </row>
    <row r="215" spans="1:25" x14ac:dyDescent="0.3">
      <c r="A215" t="s">
        <v>424</v>
      </c>
      <c r="B215" t="s">
        <v>425</v>
      </c>
      <c r="C215" s="1">
        <v>683011</v>
      </c>
      <c r="D215" s="1" t="s">
        <v>85</v>
      </c>
      <c r="E215" s="1" t="s">
        <v>27</v>
      </c>
      <c r="F215" s="1">
        <v>-4</v>
      </c>
      <c r="G215" s="1">
        <v>765</v>
      </c>
      <c r="H215" s="1">
        <v>31.9</v>
      </c>
      <c r="I215" s="1">
        <v>0.20799999999999999</v>
      </c>
      <c r="J215" s="1">
        <v>0.42899999999999999</v>
      </c>
      <c r="K215" s="1">
        <v>0.30099999999999999</v>
      </c>
      <c r="L215" s="1">
        <v>0.32200000000000001</v>
      </c>
      <c r="M215" s="1">
        <v>56</v>
      </c>
      <c r="N215" s="1">
        <v>29.2</v>
      </c>
      <c r="O215" s="1">
        <v>27.4</v>
      </c>
      <c r="P215" s="1">
        <v>73.099999999999994</v>
      </c>
      <c r="Q215" s="1">
        <v>0.311</v>
      </c>
      <c r="R215" s="1">
        <v>6.8</v>
      </c>
      <c r="S215" s="1" t="str" cm="1">
        <f t="array" ref="S215">_xlfn.IFS(R215&lt;6.5, "Short_Swing", R215&lt;=7.4, "Average_Swing", R215&gt;=7.5, "Long_Swing")</f>
        <v>Average_Swing</v>
      </c>
      <c r="T215" s="1">
        <v>31.5</v>
      </c>
      <c r="U215" s="1">
        <v>11</v>
      </c>
      <c r="V215" s="1" t="str" cm="1">
        <f t="array" ref="V215">_xlfn.IFS(U215&lt;6,"Flat",U215&lt;=14,"Average",U215&gt;14,"Steep")</f>
        <v>Average</v>
      </c>
      <c r="W215" s="1">
        <v>5.6</v>
      </c>
      <c r="X215" s="1">
        <v>25</v>
      </c>
      <c r="Y215" s="1">
        <v>64.900000000000006</v>
      </c>
    </row>
    <row r="216" spans="1:25" x14ac:dyDescent="0.3">
      <c r="A216" t="s">
        <v>426</v>
      </c>
      <c r="B216" t="s">
        <v>427</v>
      </c>
      <c r="C216" s="1">
        <v>676572</v>
      </c>
      <c r="D216" s="1" t="s">
        <v>175</v>
      </c>
      <c r="E216" s="1" t="s">
        <v>27</v>
      </c>
      <c r="F216" s="1">
        <v>-2</v>
      </c>
      <c r="G216" s="1">
        <v>575</v>
      </c>
      <c r="H216" s="1">
        <v>29.4</v>
      </c>
      <c r="I216" s="1">
        <v>0.28599999999999998</v>
      </c>
      <c r="J216" s="1">
        <v>0.51400000000000001</v>
      </c>
      <c r="K216" s="1">
        <v>0.33500000000000002</v>
      </c>
      <c r="L216" s="1">
        <v>0.373</v>
      </c>
      <c r="M216" s="1">
        <v>52.6</v>
      </c>
      <c r="N216" s="1">
        <v>18.899999999999999</v>
      </c>
      <c r="O216" s="1">
        <v>18.8</v>
      </c>
      <c r="P216" s="1">
        <v>73.5</v>
      </c>
      <c r="Q216" s="1">
        <v>0.377</v>
      </c>
      <c r="R216" s="1">
        <v>6.7</v>
      </c>
      <c r="S216" s="1" t="str" cm="1">
        <f t="array" ref="S216">_xlfn.IFS(R216&lt;6.5, "Short_Swing", R216&lt;=7.4, "Average_Swing", R216&gt;=7.5, "Long_Swing")</f>
        <v>Average_Swing</v>
      </c>
      <c r="T216" s="1">
        <v>27.9</v>
      </c>
      <c r="U216" s="1">
        <v>6.9</v>
      </c>
      <c r="V216" s="1" t="str" cm="1">
        <f t="array" ref="V216">_xlfn.IFS(U216&lt;6,"Flat",U216&lt;=14,"Average",U216&gt;14,"Steep")</f>
        <v>Average</v>
      </c>
      <c r="W216" s="1">
        <v>-2.7</v>
      </c>
      <c r="X216" s="1">
        <v>32.299999999999997</v>
      </c>
      <c r="Y216" s="1">
        <v>49.4</v>
      </c>
    </row>
    <row r="217" spans="1:25" x14ac:dyDescent="0.3">
      <c r="A217" t="s">
        <v>78</v>
      </c>
      <c r="B217" t="s">
        <v>428</v>
      </c>
      <c r="C217" s="1">
        <v>691023</v>
      </c>
      <c r="D217" s="1" t="s">
        <v>53</v>
      </c>
      <c r="E217" s="1" t="s">
        <v>27</v>
      </c>
      <c r="F217" s="1">
        <v>-6</v>
      </c>
      <c r="G217" s="1">
        <v>386</v>
      </c>
      <c r="H217" s="1">
        <v>25</v>
      </c>
      <c r="I217" s="1">
        <v>0.18099999999999999</v>
      </c>
      <c r="J217" s="1">
        <v>0.39800000000000002</v>
      </c>
      <c r="K217" s="1">
        <v>0.27300000000000002</v>
      </c>
      <c r="L217" s="1">
        <v>0.29699999999999999</v>
      </c>
      <c r="M217" s="1">
        <v>47.3</v>
      </c>
      <c r="N217" s="1">
        <v>30.9</v>
      </c>
      <c r="O217" s="1">
        <v>37</v>
      </c>
      <c r="P217" s="1">
        <v>78.8</v>
      </c>
      <c r="Q217" s="1">
        <v>0.85499999999999998</v>
      </c>
      <c r="R217" s="1">
        <v>7.9</v>
      </c>
      <c r="S217" s="1" t="str" cm="1">
        <f t="array" ref="S217">_xlfn.IFS(R217&lt;6.5, "Short_Swing", R217&lt;=7.4, "Average_Swing", R217&gt;=7.5, "Long_Swing")</f>
        <v>Long_Swing</v>
      </c>
      <c r="T217" s="1">
        <v>31.4</v>
      </c>
      <c r="U217" s="1">
        <v>6.2</v>
      </c>
      <c r="V217" s="1" t="str" cm="1">
        <f t="array" ref="V217">_xlfn.IFS(U217&lt;6,"Flat",U217&lt;=14,"Average",U217&gt;14,"Steep")</f>
        <v>Average</v>
      </c>
      <c r="W217" s="1">
        <v>-5.3</v>
      </c>
      <c r="X217" s="1">
        <v>30.1</v>
      </c>
      <c r="Y217" s="1">
        <v>47.7</v>
      </c>
    </row>
    <row r="218" spans="1:25" x14ac:dyDescent="0.3">
      <c r="A218" t="s">
        <v>429</v>
      </c>
      <c r="B218" t="s">
        <v>428</v>
      </c>
      <c r="C218" s="1">
        <v>572233</v>
      </c>
      <c r="D218" s="1" t="s">
        <v>47</v>
      </c>
      <c r="E218" s="1" t="s">
        <v>27</v>
      </c>
      <c r="F218" s="1">
        <v>-3</v>
      </c>
      <c r="G218" s="1">
        <v>841</v>
      </c>
      <c r="H218" s="1">
        <v>33.5</v>
      </c>
      <c r="I218" s="1">
        <v>0.21299999999999999</v>
      </c>
      <c r="J218" s="1">
        <v>0.46200000000000002</v>
      </c>
      <c r="K218" s="1">
        <v>0.316</v>
      </c>
      <c r="L218" s="1">
        <v>0.32400000000000001</v>
      </c>
      <c r="M218" s="1">
        <v>50.5</v>
      </c>
      <c r="N218" s="1">
        <v>29</v>
      </c>
      <c r="O218" s="1">
        <v>31.7</v>
      </c>
      <c r="P218" s="1">
        <v>74.2</v>
      </c>
      <c r="Q218" s="1">
        <v>0.41399999999999998</v>
      </c>
      <c r="R218" s="1">
        <v>7.1</v>
      </c>
      <c r="S218" s="1" t="str" cm="1">
        <f t="array" ref="S218">_xlfn.IFS(R218&lt;6.5, "Short_Swing", R218&lt;=7.4, "Average_Swing", R218&gt;=7.5, "Long_Swing")</f>
        <v>Average_Swing</v>
      </c>
      <c r="T218" s="1">
        <v>29.4</v>
      </c>
      <c r="U218" s="1">
        <v>9.1</v>
      </c>
      <c r="V218" s="1" t="str" cm="1">
        <f t="array" ref="V218">_xlfn.IFS(U218&lt;6,"Flat",U218&lt;=14,"Average",U218&gt;14,"Steep")</f>
        <v>Average</v>
      </c>
      <c r="W218" s="1">
        <v>-4.5999999999999996</v>
      </c>
      <c r="X218" s="1">
        <v>31.4</v>
      </c>
      <c r="Y218" s="1">
        <v>51.3</v>
      </c>
    </row>
    <row r="219" spans="1:25" x14ac:dyDescent="0.3">
      <c r="A219" t="s">
        <v>124</v>
      </c>
      <c r="B219" t="s">
        <v>430</v>
      </c>
      <c r="C219" s="1">
        <v>670242</v>
      </c>
      <c r="D219" s="1" t="s">
        <v>112</v>
      </c>
      <c r="E219" s="1" t="s">
        <v>27</v>
      </c>
      <c r="F219" s="1">
        <v>2</v>
      </c>
      <c r="G219" s="1">
        <v>623</v>
      </c>
      <c r="H219" s="1">
        <v>40.1</v>
      </c>
      <c r="I219" s="1">
        <v>0.221</v>
      </c>
      <c r="J219" s="1">
        <v>0.49099999999999999</v>
      </c>
      <c r="K219" s="1">
        <v>0.32500000000000001</v>
      </c>
      <c r="L219" s="1">
        <v>0.34599999999999997</v>
      </c>
      <c r="M219" s="1">
        <v>50.6</v>
      </c>
      <c r="N219" s="1">
        <v>33.9</v>
      </c>
      <c r="O219" s="1">
        <v>29.4</v>
      </c>
      <c r="P219" s="1">
        <v>76.7</v>
      </c>
      <c r="Q219" s="1">
        <v>0.71499999999999997</v>
      </c>
      <c r="R219" s="1">
        <v>7.1</v>
      </c>
      <c r="S219" s="1" t="str" cm="1">
        <f t="array" ref="S219">_xlfn.IFS(R219&lt;6.5, "Short_Swing", R219&lt;=7.4, "Average_Swing", R219&gt;=7.5, "Long_Swing")</f>
        <v>Average_Swing</v>
      </c>
      <c r="T219" s="1">
        <v>28.2</v>
      </c>
      <c r="U219" s="1">
        <v>12.5</v>
      </c>
      <c r="V219" s="1" t="str" cm="1">
        <f t="array" ref="V219">_xlfn.IFS(U219&lt;6,"Flat",U219&lt;=14,"Average",U219&gt;14,"Steep")</f>
        <v>Average</v>
      </c>
      <c r="W219" s="1">
        <v>-6.2</v>
      </c>
      <c r="X219" s="1">
        <v>37.299999999999997</v>
      </c>
      <c r="Y219" s="1">
        <v>56.6</v>
      </c>
    </row>
    <row r="220" spans="1:25" x14ac:dyDescent="0.3">
      <c r="A220" t="s">
        <v>431</v>
      </c>
      <c r="B220" t="s">
        <v>432</v>
      </c>
      <c r="C220" s="1">
        <v>621493</v>
      </c>
      <c r="D220" s="1" t="s">
        <v>39</v>
      </c>
      <c r="E220" s="1" t="s">
        <v>26</v>
      </c>
      <c r="F220" s="1">
        <v>2</v>
      </c>
      <c r="G220" s="1">
        <v>443</v>
      </c>
      <c r="H220" s="1">
        <v>15.9</v>
      </c>
      <c r="I220" s="1">
        <v>0.26600000000000001</v>
      </c>
      <c r="J220" s="1">
        <v>0.47699999999999998</v>
      </c>
      <c r="K220" s="1">
        <v>0.40500000000000003</v>
      </c>
      <c r="L220" s="1">
        <v>0.38400000000000001</v>
      </c>
      <c r="M220" s="1">
        <v>44.6</v>
      </c>
      <c r="N220" s="1">
        <v>11</v>
      </c>
      <c r="O220" s="1">
        <v>20</v>
      </c>
      <c r="P220" s="1">
        <v>69</v>
      </c>
      <c r="Q220" s="1">
        <v>4.7E-2</v>
      </c>
      <c r="R220" s="1">
        <v>6.6</v>
      </c>
      <c r="S220" s="1" t="str" cm="1">
        <f t="array" ref="S220">_xlfn.IFS(R220&lt;6.5, "Short_Swing", R220&lt;=7.4, "Average_Swing", R220&gt;=7.5, "Long_Swing")</f>
        <v>Average_Swing</v>
      </c>
      <c r="T220" s="1">
        <v>32.1</v>
      </c>
      <c r="U220" s="1">
        <v>9.1</v>
      </c>
      <c r="V220" s="1" t="str" cm="1">
        <f t="array" ref="V220">_xlfn.IFS(U220&lt;6,"Flat",U220&lt;=14,"Average",U220&gt;14,"Steep")</f>
        <v>Average</v>
      </c>
      <c r="W220" s="1">
        <v>-2.9</v>
      </c>
      <c r="X220" s="1">
        <v>33.5</v>
      </c>
      <c r="Y220" s="1">
        <v>55.5</v>
      </c>
    </row>
    <row r="221" spans="1:25" x14ac:dyDescent="0.3">
      <c r="A221" t="s">
        <v>220</v>
      </c>
      <c r="B221" t="s">
        <v>433</v>
      </c>
      <c r="C221" s="1">
        <v>669224</v>
      </c>
      <c r="D221" s="1" t="s">
        <v>85</v>
      </c>
      <c r="E221" s="1" t="s">
        <v>27</v>
      </c>
      <c r="F221" s="1">
        <v>3</v>
      </c>
      <c r="G221" s="1">
        <v>553</v>
      </c>
      <c r="H221" s="1">
        <v>30.8</v>
      </c>
      <c r="I221" s="1">
        <v>0.25800000000000001</v>
      </c>
      <c r="J221" s="1">
        <v>0.53</v>
      </c>
      <c r="K221" s="1">
        <v>0.35199999999999998</v>
      </c>
      <c r="L221" s="1">
        <v>0.35699999999999998</v>
      </c>
      <c r="M221" s="1">
        <v>50.5</v>
      </c>
      <c r="N221" s="1">
        <v>21.1</v>
      </c>
      <c r="O221" s="1">
        <v>21.2</v>
      </c>
      <c r="P221" s="1">
        <v>73.8</v>
      </c>
      <c r="Q221" s="1">
        <v>0.35499999999999998</v>
      </c>
      <c r="R221" s="1">
        <v>7.2</v>
      </c>
      <c r="S221" s="1" t="str" cm="1">
        <f t="array" ref="S221">_xlfn.IFS(R221&lt;6.5, "Short_Swing", R221&lt;=7.4, "Average_Swing", R221&gt;=7.5, "Long_Swing")</f>
        <v>Average_Swing</v>
      </c>
      <c r="T221" s="1">
        <v>31.8</v>
      </c>
      <c r="U221" s="1">
        <v>10.5</v>
      </c>
      <c r="V221" s="1" t="str" cm="1">
        <f t="array" ref="V221">_xlfn.IFS(U221&lt;6,"Flat",U221&lt;=14,"Average",U221&gt;14,"Steep")</f>
        <v>Average</v>
      </c>
      <c r="W221" s="1">
        <v>-5.7</v>
      </c>
      <c r="X221" s="1">
        <v>30.5</v>
      </c>
      <c r="Y221" s="1">
        <v>49.9</v>
      </c>
    </row>
    <row r="222" spans="1:25" x14ac:dyDescent="0.3">
      <c r="A222" t="s">
        <v>434</v>
      </c>
      <c r="B222" t="s">
        <v>435</v>
      </c>
      <c r="C222" s="1">
        <v>805779</v>
      </c>
      <c r="D222" s="1" t="s">
        <v>109</v>
      </c>
      <c r="E222" s="1" t="s">
        <v>27</v>
      </c>
      <c r="F222" s="1">
        <v>2</v>
      </c>
      <c r="G222" s="1">
        <v>432</v>
      </c>
      <c r="H222" s="1">
        <v>24.9</v>
      </c>
      <c r="I222" s="1">
        <v>0.29799999999999999</v>
      </c>
      <c r="J222" s="1">
        <v>0.41799999999999998</v>
      </c>
      <c r="K222" s="1">
        <v>0.38600000000000001</v>
      </c>
      <c r="L222" s="1">
        <v>0.34899999999999998</v>
      </c>
      <c r="M222" s="1">
        <v>27.5</v>
      </c>
      <c r="N222" s="1">
        <v>10.5</v>
      </c>
      <c r="O222" s="1">
        <v>11.2</v>
      </c>
      <c r="P222" s="1">
        <v>63.5</v>
      </c>
      <c r="Q222" s="1">
        <v>5.0000000000000001E-3</v>
      </c>
      <c r="R222" s="1">
        <v>5.8</v>
      </c>
      <c r="S222" s="1" t="str" cm="1">
        <f t="array" ref="S222">_xlfn.IFS(R222&lt;6.5, "Short_Swing", R222&lt;=7.4, "Average_Swing", R222&gt;=7.5, "Long_Swing")</f>
        <v>Short_Swing</v>
      </c>
      <c r="T222" s="1">
        <v>35.200000000000003</v>
      </c>
      <c r="U222" s="1">
        <v>2.8</v>
      </c>
      <c r="V222" s="1" t="str" cm="1">
        <f t="array" ref="V222">_xlfn.IFS(U222&lt;6,"Flat",U222&lt;=14,"Average",U222&gt;14,"Steep")</f>
        <v>Flat</v>
      </c>
      <c r="W222" s="1">
        <v>-1.1000000000000001</v>
      </c>
      <c r="X222" s="1">
        <v>30.6</v>
      </c>
      <c r="Y222" s="1">
        <v>36.4</v>
      </c>
    </row>
    <row r="223" spans="1:25" x14ac:dyDescent="0.3">
      <c r="A223" t="s">
        <v>436</v>
      </c>
      <c r="B223" t="s">
        <v>437</v>
      </c>
      <c r="C223" s="1">
        <v>691026</v>
      </c>
      <c r="D223" s="1" t="s">
        <v>53</v>
      </c>
      <c r="E223" s="1" t="s">
        <v>26</v>
      </c>
      <c r="F223" s="1">
        <v>-1</v>
      </c>
      <c r="G223" s="1">
        <v>342</v>
      </c>
      <c r="H223" s="1">
        <v>15.2</v>
      </c>
      <c r="I223" s="1">
        <v>0.26900000000000002</v>
      </c>
      <c r="J223" s="1">
        <v>0.39100000000000001</v>
      </c>
      <c r="K223" s="1">
        <v>0.36199999999999999</v>
      </c>
      <c r="L223" s="1">
        <v>0.32200000000000001</v>
      </c>
      <c r="M223" s="1">
        <v>38.799999999999997</v>
      </c>
      <c r="N223" s="1">
        <v>13.2</v>
      </c>
      <c r="O223" s="1">
        <v>14.8</v>
      </c>
      <c r="P223" s="1">
        <v>71.3</v>
      </c>
      <c r="Q223" s="1">
        <v>0.188</v>
      </c>
      <c r="R223" s="1">
        <v>7.1</v>
      </c>
      <c r="S223" s="1" t="str" cm="1">
        <f t="array" ref="S223">_xlfn.IFS(R223&lt;6.5, "Short_Swing", R223&lt;=7.4, "Average_Swing", R223&gt;=7.5, "Long_Swing")</f>
        <v>Average_Swing</v>
      </c>
      <c r="T223" s="1">
        <v>29.1</v>
      </c>
      <c r="U223" s="1">
        <v>5.5</v>
      </c>
      <c r="V223" s="1" t="str" cm="1">
        <f t="array" ref="V223">_xlfn.IFS(U223&lt;6,"Flat",U223&lt;=14,"Average",U223&gt;14,"Steep")</f>
        <v>Flat</v>
      </c>
      <c r="W223" s="1">
        <v>-3.9</v>
      </c>
      <c r="X223" s="1">
        <v>34</v>
      </c>
      <c r="Y223" s="1">
        <v>43.7</v>
      </c>
    </row>
    <row r="224" spans="1:25" x14ac:dyDescent="0.3">
      <c r="A224" t="s">
        <v>438</v>
      </c>
      <c r="B224" t="s">
        <v>439</v>
      </c>
      <c r="C224" s="1">
        <v>677951</v>
      </c>
      <c r="D224" s="1" t="s">
        <v>184</v>
      </c>
      <c r="E224" s="1" t="s">
        <v>27</v>
      </c>
      <c r="F224" s="1">
        <v>4</v>
      </c>
      <c r="G224" s="1">
        <v>836</v>
      </c>
      <c r="H224" s="1">
        <v>33.299999999999997</v>
      </c>
      <c r="I224" s="1">
        <v>0.28399999999999997</v>
      </c>
      <c r="J224" s="1">
        <v>0.54300000000000004</v>
      </c>
      <c r="K224" s="1">
        <v>0.375</v>
      </c>
      <c r="L224" s="1">
        <v>0.375</v>
      </c>
      <c r="M224" s="1">
        <v>61.4</v>
      </c>
      <c r="N224" s="1">
        <v>25</v>
      </c>
      <c r="O224" s="1">
        <v>25.4</v>
      </c>
      <c r="P224" s="1">
        <v>74</v>
      </c>
      <c r="Q224" s="1">
        <v>0.41699999999999998</v>
      </c>
      <c r="R224" s="1">
        <v>6.6</v>
      </c>
      <c r="S224" s="1" t="str" cm="1">
        <f t="array" ref="S224">_xlfn.IFS(R224&lt;6.5, "Short_Swing", R224&lt;=7.4, "Average_Swing", R224&gt;=7.5, "Long_Swing")</f>
        <v>Average_Swing</v>
      </c>
      <c r="T224" s="1">
        <v>28.6</v>
      </c>
      <c r="U224" s="1">
        <v>5.0999999999999996</v>
      </c>
      <c r="V224" s="1" t="str" cm="1">
        <f t="array" ref="V224">_xlfn.IFS(U224&lt;6,"Flat",U224&lt;=14,"Average",U224&gt;14,"Steep")</f>
        <v>Flat</v>
      </c>
      <c r="W224" s="1">
        <v>-0.3</v>
      </c>
      <c r="X224" s="1">
        <v>27.8</v>
      </c>
      <c r="Y224" s="1">
        <v>47.3</v>
      </c>
    </row>
    <row r="225" spans="1:25" x14ac:dyDescent="0.3">
      <c r="A225" t="s">
        <v>440</v>
      </c>
      <c r="B225" t="s">
        <v>441</v>
      </c>
      <c r="C225" s="1">
        <v>695578</v>
      </c>
      <c r="D225" s="1" t="s">
        <v>25</v>
      </c>
      <c r="E225" s="1" t="s">
        <v>27</v>
      </c>
      <c r="F225" s="1">
        <v>11</v>
      </c>
      <c r="G225" s="1">
        <v>793</v>
      </c>
      <c r="H225" s="1">
        <v>27.5</v>
      </c>
      <c r="I225" s="1">
        <v>0.30299999999999999</v>
      </c>
      <c r="J225" s="1">
        <v>0.62</v>
      </c>
      <c r="K225" s="1">
        <v>0.40400000000000003</v>
      </c>
      <c r="L225" s="1">
        <v>0.42</v>
      </c>
      <c r="M225" s="1">
        <v>71.8</v>
      </c>
      <c r="N225" s="1">
        <v>24</v>
      </c>
      <c r="O225" s="1">
        <v>34</v>
      </c>
      <c r="P225" s="1">
        <v>77</v>
      </c>
      <c r="Q225" s="1">
        <v>0.72799999999999998</v>
      </c>
      <c r="R225" s="1">
        <v>7.1</v>
      </c>
      <c r="S225" s="1" t="str" cm="1">
        <f t="array" ref="S225">_xlfn.IFS(R225&lt;6.5, "Short_Swing", R225&lt;=7.4, "Average_Swing", R225&gt;=7.5, "Long_Swing")</f>
        <v>Average_Swing</v>
      </c>
      <c r="T225" s="1">
        <v>39.700000000000003</v>
      </c>
      <c r="U225" s="1">
        <v>11.1</v>
      </c>
      <c r="V225" s="1" t="str" cm="1">
        <f t="array" ref="V225">_xlfn.IFS(U225&lt;6,"Flat",U225&lt;=14,"Average",U225&gt;14,"Steep")</f>
        <v>Average</v>
      </c>
      <c r="W225" s="1">
        <v>1.9</v>
      </c>
      <c r="X225" s="1">
        <v>32.700000000000003</v>
      </c>
      <c r="Y225" s="1">
        <v>41.9</v>
      </c>
    </row>
    <row r="226" spans="1:25" x14ac:dyDescent="0.3">
      <c r="A226" t="s">
        <v>403</v>
      </c>
      <c r="B226" t="s">
        <v>442</v>
      </c>
      <c r="C226" s="1">
        <v>573262</v>
      </c>
      <c r="D226" s="1" t="s">
        <v>184</v>
      </c>
      <c r="E226" s="1" t="s">
        <v>27</v>
      </c>
      <c r="F226" s="1">
        <v>-8</v>
      </c>
      <c r="G226" s="1">
        <v>920</v>
      </c>
      <c r="H226" s="1">
        <v>39.9</v>
      </c>
      <c r="I226" s="1">
        <v>0.22500000000000001</v>
      </c>
      <c r="J226" s="1">
        <v>0.45400000000000001</v>
      </c>
      <c r="K226" s="1">
        <v>0.30499999999999999</v>
      </c>
      <c r="L226" s="1">
        <v>0.34</v>
      </c>
      <c r="M226" s="1">
        <v>47.3</v>
      </c>
      <c r="N226" s="1">
        <v>18.100000000000001</v>
      </c>
      <c r="O226" s="1">
        <v>20.2</v>
      </c>
      <c r="P226" s="1">
        <v>70.8</v>
      </c>
      <c r="Q226" s="1">
        <v>7.3999999999999996E-2</v>
      </c>
      <c r="R226" s="1">
        <v>7.2</v>
      </c>
      <c r="S226" s="1" t="str" cm="1">
        <f t="array" ref="S226">_xlfn.IFS(R226&lt;6.5, "Short_Swing", R226&lt;=7.4, "Average_Swing", R226&gt;=7.5, "Long_Swing")</f>
        <v>Average_Swing</v>
      </c>
      <c r="T226" s="1">
        <v>30.4</v>
      </c>
      <c r="U226" s="1">
        <v>10.9</v>
      </c>
      <c r="V226" s="1" t="str" cm="1">
        <f t="array" ref="V226">_xlfn.IFS(U226&lt;6,"Flat",U226&lt;=14,"Average",U226&gt;14,"Steep")</f>
        <v>Average</v>
      </c>
      <c r="W226" s="1">
        <v>-2.7</v>
      </c>
      <c r="X226" s="1">
        <v>30.3</v>
      </c>
      <c r="Y226" s="1">
        <v>66.900000000000006</v>
      </c>
    </row>
    <row r="227" spans="1:25" x14ac:dyDescent="0.3">
      <c r="A227" t="s">
        <v>429</v>
      </c>
      <c r="B227" t="s">
        <v>443</v>
      </c>
      <c r="C227" s="1">
        <v>592885</v>
      </c>
      <c r="D227" s="1" t="s">
        <v>130</v>
      </c>
      <c r="E227" s="1" t="s">
        <v>27</v>
      </c>
      <c r="F227" s="1">
        <v>6</v>
      </c>
      <c r="G227" s="1">
        <v>855</v>
      </c>
      <c r="H227" s="1">
        <v>32.9</v>
      </c>
      <c r="I227" s="1">
        <v>0.28000000000000003</v>
      </c>
      <c r="J227" s="1">
        <v>0.51700000000000002</v>
      </c>
      <c r="K227" s="1">
        <v>0.38400000000000001</v>
      </c>
      <c r="L227" s="1">
        <v>0.38800000000000001</v>
      </c>
      <c r="M227" s="1">
        <v>53.2</v>
      </c>
      <c r="N227" s="1">
        <v>21.8</v>
      </c>
      <c r="O227" s="1">
        <v>19.600000000000001</v>
      </c>
      <c r="P227" s="1">
        <v>72.2</v>
      </c>
      <c r="Q227" s="1">
        <v>0.24299999999999999</v>
      </c>
      <c r="R227" s="1">
        <v>7.1</v>
      </c>
      <c r="S227" s="1" t="str" cm="1">
        <f t="array" ref="S227">_xlfn.IFS(R227&lt;6.5, "Short_Swing", R227&lt;=7.4, "Average_Swing", R227&gt;=7.5, "Long_Swing")</f>
        <v>Average_Swing</v>
      </c>
      <c r="T227" s="1">
        <v>36.299999999999997</v>
      </c>
      <c r="U227" s="1">
        <v>9.6999999999999993</v>
      </c>
      <c r="V227" s="1" t="str" cm="1">
        <f t="array" ref="V227">_xlfn.IFS(U227&lt;6,"Flat",U227&lt;=14,"Average",U227&gt;14,"Steep")</f>
        <v>Average</v>
      </c>
      <c r="W227" s="1">
        <v>7</v>
      </c>
      <c r="X227" s="1">
        <v>26.7</v>
      </c>
      <c r="Y227" s="1">
        <v>44.4</v>
      </c>
    </row>
    <row r="228" spans="1:25" x14ac:dyDescent="0.3">
      <c r="C228"/>
      <c r="D228"/>
      <c r="E228"/>
      <c r="F228"/>
      <c r="G228"/>
      <c r="H228"/>
      <c r="I228"/>
      <c r="J228"/>
      <c r="K228"/>
      <c r="L228"/>
      <c r="M228">
        <f>AVERAGE(M2:M227)</f>
        <v>47.419026548672562</v>
      </c>
      <c r="N228"/>
      <c r="O228"/>
      <c r="P228"/>
      <c r="Q228"/>
      <c r="R228"/>
      <c r="S228"/>
      <c r="T228"/>
      <c r="U228"/>
      <c r="V228"/>
      <c r="W228"/>
      <c r="X228"/>
      <c r="Y228"/>
    </row>
    <row r="229" spans="1:25" x14ac:dyDescent="0.3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</row>
    <row r="230" spans="1:25" x14ac:dyDescent="0.3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</row>
    <row r="231" spans="1:25" x14ac:dyDescent="0.3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</row>
    <row r="232" spans="1:25" x14ac:dyDescent="0.3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</row>
    <row r="233" spans="1:25" x14ac:dyDescent="0.3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</row>
    <row r="234" spans="1:25" x14ac:dyDescent="0.3"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</row>
    <row r="235" spans="1:25" x14ac:dyDescent="0.3"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</row>
    <row r="236" spans="1:25" x14ac:dyDescent="0.3"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</row>
    <row r="237" spans="1:25" x14ac:dyDescent="0.3"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</row>
    <row r="238" spans="1:25" x14ac:dyDescent="0.3"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</row>
    <row r="239" spans="1:25" x14ac:dyDescent="0.3"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</row>
    <row r="240" spans="1:25" x14ac:dyDescent="0.3"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</row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6440D-0D4E-4292-8221-14E17F1F849B}">
  <dimension ref="A1:G7"/>
  <sheetViews>
    <sheetView zoomScale="176" zoomScaleNormal="176" workbookViewId="0">
      <selection activeCell="G2" sqref="G2"/>
    </sheetView>
  </sheetViews>
  <sheetFormatPr defaultRowHeight="14.4" x14ac:dyDescent="0.3"/>
  <cols>
    <col min="1" max="1" width="10.88671875" bestFit="1" customWidth="1"/>
    <col min="3" max="3" width="6.88671875" customWidth="1"/>
    <col min="4" max="4" width="8.21875" customWidth="1"/>
    <col min="5" max="5" width="6.5546875" customWidth="1"/>
  </cols>
  <sheetData>
    <row r="1" spans="1:7" ht="15" thickBot="1" x14ac:dyDescent="0.35"/>
    <row r="2" spans="1:7" ht="58.05" customHeight="1" thickBot="1" x14ac:dyDescent="0.35">
      <c r="A2" s="22" t="s">
        <v>454</v>
      </c>
      <c r="B2" s="23"/>
      <c r="C2" s="19" t="s">
        <v>455</v>
      </c>
      <c r="D2" s="20"/>
      <c r="E2" s="20"/>
      <c r="F2" s="21"/>
      <c r="G2" s="28" t="s">
        <v>456</v>
      </c>
    </row>
    <row r="3" spans="1:7" ht="15" thickBot="1" x14ac:dyDescent="0.35">
      <c r="A3" s="24"/>
      <c r="B3" s="25"/>
      <c r="C3" s="13" t="s">
        <v>452</v>
      </c>
      <c r="D3" s="14" t="s">
        <v>446</v>
      </c>
      <c r="E3" s="14" t="s">
        <v>451</v>
      </c>
      <c r="F3" s="15" t="s">
        <v>449</v>
      </c>
    </row>
    <row r="4" spans="1:7" x14ac:dyDescent="0.3">
      <c r="A4" s="26" t="s">
        <v>450</v>
      </c>
      <c r="B4" s="8" t="s">
        <v>447</v>
      </c>
      <c r="C4" s="18">
        <v>33.1</v>
      </c>
      <c r="D4" s="16">
        <v>47.1</v>
      </c>
      <c r="E4" s="16" t="s">
        <v>453</v>
      </c>
      <c r="F4" s="17">
        <v>42</v>
      </c>
    </row>
    <row r="5" spans="1:7" x14ac:dyDescent="0.3">
      <c r="A5" s="27"/>
      <c r="B5" s="9" t="s">
        <v>446</v>
      </c>
      <c r="C5" s="11">
        <v>45.8</v>
      </c>
      <c r="D5" s="2">
        <v>47.7</v>
      </c>
      <c r="E5" s="3">
        <v>50.3</v>
      </c>
      <c r="F5" s="4">
        <v>47.7</v>
      </c>
    </row>
    <row r="6" spans="1:7" x14ac:dyDescent="0.3">
      <c r="A6" s="27"/>
      <c r="B6" s="9" t="s">
        <v>448</v>
      </c>
      <c r="C6" s="11" t="s">
        <v>453</v>
      </c>
      <c r="D6" s="2">
        <v>50.7</v>
      </c>
      <c r="E6" s="2">
        <v>46.1</v>
      </c>
      <c r="F6" s="4">
        <v>49.6</v>
      </c>
    </row>
    <row r="7" spans="1:7" ht="15" thickBot="1" x14ac:dyDescent="0.35">
      <c r="A7" s="24"/>
      <c r="B7" s="10" t="s">
        <v>449</v>
      </c>
      <c r="C7" s="12">
        <v>41.9</v>
      </c>
      <c r="D7" s="5">
        <v>48.1</v>
      </c>
      <c r="E7" s="6">
        <v>48.7</v>
      </c>
      <c r="F7" s="7">
        <v>47.4</v>
      </c>
    </row>
  </sheetData>
  <mergeCells count="3">
    <mergeCell ref="C2:F2"/>
    <mergeCell ref="A2:B3"/>
    <mergeCell ref="A4:A7"/>
  </mergeCells>
  <conditionalFormatting sqref="C4:F4">
    <cfRule type="colorScale" priority="1">
      <colorScale>
        <cfvo type="min"/>
        <cfvo type="max"/>
        <color rgb="FF0070C0"/>
        <color rgb="FFFF0000"/>
      </colorScale>
    </cfRule>
  </conditionalFormatting>
  <conditionalFormatting sqref="C5:F7">
    <cfRule type="colorScale" priority="3">
      <colorScale>
        <cfvo type="min"/>
        <cfvo type="max"/>
        <color rgb="FF0070C0"/>
        <color rgb="FFFF0000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5ECCF-0841-499A-BE18-7024E1A845DC}">
  <dimension ref="A1:J6"/>
  <sheetViews>
    <sheetView tabSelected="1" workbookViewId="0">
      <selection activeCell="D10" sqref="D10"/>
    </sheetView>
  </sheetViews>
  <sheetFormatPr defaultRowHeight="14.4" x14ac:dyDescent="0.3"/>
  <cols>
    <col min="1" max="1" width="20.5546875" bestFit="1" customWidth="1"/>
  </cols>
  <sheetData>
    <row r="1" spans="1:10" ht="20.399999999999999" thickBot="1" x14ac:dyDescent="0.45">
      <c r="A1" s="29" t="s">
        <v>463</v>
      </c>
      <c r="B1" s="29"/>
      <c r="C1" s="29"/>
      <c r="D1" s="29"/>
      <c r="E1" s="29"/>
    </row>
    <row r="2" spans="1:10" ht="27.6" customHeight="1" x14ac:dyDescent="0.3">
      <c r="A2" s="40" t="s">
        <v>450</v>
      </c>
      <c r="B2" s="30" t="s">
        <v>464</v>
      </c>
      <c r="C2" s="31"/>
      <c r="D2" s="31"/>
      <c r="E2" s="31"/>
      <c r="F2" s="32"/>
      <c r="G2" s="32"/>
      <c r="H2" s="32"/>
      <c r="I2" s="32"/>
      <c r="J2" s="33"/>
    </row>
    <row r="3" spans="1:10" ht="28.8" customHeight="1" x14ac:dyDescent="0.3">
      <c r="A3" s="41" t="s">
        <v>457</v>
      </c>
      <c r="B3" s="34" t="s">
        <v>465</v>
      </c>
      <c r="C3" s="35"/>
      <c r="D3" s="35"/>
      <c r="E3" s="35"/>
      <c r="F3" s="35"/>
      <c r="G3" s="35"/>
      <c r="H3" s="35"/>
      <c r="I3" s="35"/>
      <c r="J3" s="36"/>
    </row>
    <row r="4" spans="1:10" ht="28.2" customHeight="1" x14ac:dyDescent="0.3">
      <c r="A4" s="42" t="s">
        <v>458</v>
      </c>
      <c r="B4" s="34" t="s">
        <v>462</v>
      </c>
      <c r="C4" s="35"/>
      <c r="D4" s="35"/>
      <c r="E4" s="35"/>
      <c r="F4" s="35"/>
      <c r="G4" s="35"/>
      <c r="H4" s="35"/>
      <c r="I4" s="35"/>
      <c r="J4" s="36"/>
    </row>
    <row r="5" spans="1:10" ht="27" customHeight="1" x14ac:dyDescent="0.3">
      <c r="A5" s="41" t="s">
        <v>459</v>
      </c>
      <c r="B5" s="34" t="s">
        <v>461</v>
      </c>
      <c r="C5" s="35"/>
      <c r="D5" s="35"/>
      <c r="E5" s="35"/>
      <c r="F5" s="35"/>
      <c r="G5" s="35"/>
      <c r="H5" s="35"/>
      <c r="I5" s="35"/>
      <c r="J5" s="36"/>
    </row>
    <row r="6" spans="1:10" ht="58.2" customHeight="1" thickBot="1" x14ac:dyDescent="0.35">
      <c r="A6" s="43" t="s">
        <v>460</v>
      </c>
      <c r="B6" s="37" t="s">
        <v>466</v>
      </c>
      <c r="C6" s="38"/>
      <c r="D6" s="38"/>
      <c r="E6" s="38"/>
      <c r="F6" s="38"/>
      <c r="G6" s="38"/>
      <c r="H6" s="38"/>
      <c r="I6" s="38"/>
      <c r="J6" s="39"/>
    </row>
  </sheetData>
  <mergeCells count="6">
    <mergeCell ref="A1:E1"/>
    <mergeCell ref="B2:J2"/>
    <mergeCell ref="B3:J3"/>
    <mergeCell ref="B4:J4"/>
    <mergeCell ref="B5:J5"/>
    <mergeCell ref="B6:J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Table1</vt:lpstr>
      <vt:lpstr>Swing Length Pivot Table</vt:lpstr>
      <vt:lpstr>Definitions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henryjones98</dc:creator>
  <cp:lastModifiedBy>Henry Jones</cp:lastModifiedBy>
  <dcterms:created xsi:type="dcterms:W3CDTF">2026-06-12T21:46:30Z</dcterms:created>
  <dcterms:modified xsi:type="dcterms:W3CDTF">2026-08-05T22:56:31Z</dcterms:modified>
</cp:coreProperties>
</file>